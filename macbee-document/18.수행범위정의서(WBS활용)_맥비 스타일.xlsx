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0119\04.산출물\02.요구사항에서수행범위추출\06.수행범위정의\"/>
    </mc:Choice>
  </mc:AlternateContent>
  <bookViews>
    <workbookView xWindow="0" yWindow="0" windowWidth="19905" windowHeight="9720"/>
  </bookViews>
  <sheets>
    <sheet name="01.WBS" sheetId="39" r:id="rId1"/>
    <sheet name="02.개정이력" sheetId="40" r:id="rId2"/>
  </sheets>
  <definedNames>
    <definedName name="_xlnm.Print_Area" localSheetId="0">'01.WBS'!$C$1:$R$47</definedName>
  </definedNames>
  <calcPr calcId="181029" iterate="1" iterateCount="99"/>
  <webPublishing targetScreenSize="1024x768" codePage="94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6" i="39" l="1"/>
  <c r="K3" i="39"/>
  <c r="D3" i="39" l="1"/>
  <c r="E3" i="39" l="1"/>
  <c r="J6" i="39"/>
  <c r="I6" i="39"/>
  <c r="N39" i="39"/>
  <c r="O39" i="39"/>
  <c r="M39" i="39"/>
  <c r="N47" i="39"/>
  <c r="O47" i="39"/>
  <c r="M47" i="39"/>
  <c r="N44" i="39"/>
  <c r="O44" i="39"/>
  <c r="M44" i="39"/>
  <c r="N35" i="39"/>
  <c r="O35" i="39"/>
  <c r="M35" i="39"/>
  <c r="N29" i="39"/>
  <c r="O29" i="39"/>
  <c r="M29" i="39"/>
  <c r="M22" i="39"/>
  <c r="N22" i="39"/>
  <c r="O22" i="39"/>
  <c r="P46" i="39"/>
  <c r="P45" i="39"/>
  <c r="P43" i="39"/>
  <c r="P42" i="39"/>
  <c r="P41" i="39"/>
  <c r="P40" i="39"/>
  <c r="P38" i="39"/>
  <c r="P37" i="39"/>
  <c r="P36" i="39"/>
  <c r="P34" i="39"/>
  <c r="P33" i="39"/>
  <c r="P32" i="39"/>
  <c r="P31" i="39"/>
  <c r="P30" i="39"/>
  <c r="P28" i="39"/>
  <c r="P27" i="39"/>
  <c r="P26" i="39"/>
  <c r="P25" i="39"/>
  <c r="P24" i="39"/>
  <c r="P23" i="39"/>
  <c r="P21" i="39"/>
  <c r="P20" i="39"/>
  <c r="P19" i="39"/>
  <c r="P18" i="39"/>
  <c r="P17" i="39"/>
  <c r="P16" i="39"/>
  <c r="P15" i="39"/>
  <c r="P14" i="39"/>
  <c r="P13" i="39"/>
  <c r="P12" i="39"/>
  <c r="P11" i="39"/>
  <c r="P10" i="39"/>
  <c r="P47" i="39" l="1"/>
  <c r="K4" i="39" s="1"/>
  <c r="L4" i="39" s="1"/>
  <c r="M4" i="39" s="1"/>
  <c r="P39" i="39"/>
  <c r="P44" i="39"/>
  <c r="P35" i="39"/>
  <c r="P22" i="39"/>
  <c r="P29" i="39"/>
  <c r="K5" i="39" l="1"/>
  <c r="L5" i="39" s="1"/>
  <c r="M5" i="39" s="1"/>
  <c r="L3" i="39"/>
  <c r="M3" i="39" s="1"/>
  <c r="L6" i="39" l="1"/>
  <c r="M6" i="39"/>
</calcChain>
</file>

<file path=xl/comments1.xml><?xml version="1.0" encoding="utf-8"?>
<comments xmlns="http://schemas.openxmlformats.org/spreadsheetml/2006/main">
  <authors>
    <author>엘루오씨앤씨 경영혁신그룹</author>
  </authors>
  <commentList>
    <comment ref="M8" authorId="0" shapeId="0">
      <text>
        <r>
          <rPr>
            <sz val="8"/>
            <color indexed="81"/>
            <rFont val="맑은 고딕"/>
            <family val="3"/>
            <charset val="129"/>
          </rPr>
          <t>해당기능 구현에 있어 여러 가지 변수를 감안해 가장 늦게 개발이 될 것 같은 구현일수.</t>
        </r>
      </text>
    </comment>
    <comment ref="N8" authorId="0" shapeId="0">
      <text>
        <r>
          <rPr>
            <sz val="8"/>
            <color indexed="81"/>
            <rFont val="맑은 고딕"/>
            <family val="3"/>
            <charset val="129"/>
          </rPr>
          <t>해당기능 구현에 있어 여러 가지 변수를 감안해 가장 빠르게 개발이 될 것 같은 구현일수</t>
        </r>
      </text>
    </comment>
    <comment ref="O8" authorId="0" shapeId="0">
      <text>
        <r>
          <rPr>
            <sz val="8"/>
            <color indexed="81"/>
            <rFont val="맑은 고딕"/>
            <family val="3"/>
            <charset val="129"/>
          </rPr>
          <t>해당기능 구현에 있어 여러 가지 변수를 감안해 실제적 개발이 될 것 같은 구현일수</t>
        </r>
      </text>
    </comment>
  </commentList>
</comments>
</file>

<file path=xl/sharedStrings.xml><?xml version="1.0" encoding="utf-8"?>
<sst xmlns="http://schemas.openxmlformats.org/spreadsheetml/2006/main" count="166" uniqueCount="120">
  <si>
    <t>담당자</t>
  </si>
  <si>
    <t>통합</t>
  </si>
  <si>
    <t>WBS</t>
    <phoneticPr fontId="1" type="noConversion"/>
  </si>
  <si>
    <t>구분</t>
    <phoneticPr fontId="1" type="noConversion"/>
  </si>
  <si>
    <t>기능</t>
    <phoneticPr fontId="1" type="noConversion"/>
  </si>
  <si>
    <t>상세설명</t>
    <phoneticPr fontId="1" type="noConversion"/>
  </si>
  <si>
    <t>비관치</t>
    <phoneticPr fontId="1" type="noConversion"/>
  </si>
  <si>
    <t>낙관치</t>
    <phoneticPr fontId="1" type="noConversion"/>
  </si>
  <si>
    <t>근사치</t>
    <phoneticPr fontId="1" type="noConversion"/>
  </si>
  <si>
    <t>소요일</t>
    <phoneticPr fontId="1" type="noConversion"/>
  </si>
  <si>
    <t>일</t>
    <phoneticPr fontId="1" type="noConversion"/>
  </si>
  <si>
    <t>지도 구현</t>
    <phoneticPr fontId="1" type="noConversion"/>
  </si>
  <si>
    <t>지도로딩</t>
    <phoneticPr fontId="1" type="noConversion"/>
  </si>
  <si>
    <t>지도 실시간 마킹</t>
    <phoneticPr fontId="1" type="noConversion"/>
  </si>
  <si>
    <t>매물정보 표시</t>
    <phoneticPr fontId="1" type="noConversion"/>
  </si>
  <si>
    <t>반경 설정</t>
    <phoneticPr fontId="1" type="noConversion"/>
  </si>
  <si>
    <t>검색</t>
    <phoneticPr fontId="1" type="noConversion"/>
  </si>
  <si>
    <t>가상서버 구축</t>
    <phoneticPr fontId="1" type="noConversion"/>
  </si>
  <si>
    <t>검색엔진 셋팅</t>
    <phoneticPr fontId="1" type="noConversion"/>
  </si>
  <si>
    <t>검색엔진 스코어링 정보 구현</t>
    <phoneticPr fontId="1" type="noConversion"/>
  </si>
  <si>
    <t xml:space="preserve">현재 위치 구현 </t>
    <phoneticPr fontId="1" type="noConversion"/>
  </si>
  <si>
    <t>배너 광고의 지도내 표현</t>
    <phoneticPr fontId="1" type="noConversion"/>
  </si>
  <si>
    <t>유료 / 무료 매물에 대한 정보 노출</t>
    <phoneticPr fontId="1" type="noConversion"/>
  </si>
  <si>
    <t>지도 내 지하철 위치 정보 노출</t>
    <phoneticPr fontId="1" type="noConversion"/>
  </si>
  <si>
    <t xml:space="preserve">매물에서 불특정 위치에 대한 거리 측정 </t>
    <phoneticPr fontId="1" type="noConversion"/>
  </si>
  <si>
    <t>주변 상가정보 표시 ( LAYER 정보 노출 )</t>
    <phoneticPr fontId="1" type="noConversion"/>
  </si>
  <si>
    <t>매물리스트</t>
    <phoneticPr fontId="1" type="noConversion"/>
  </si>
  <si>
    <t>매물 선택시 매물 정보 노출</t>
    <phoneticPr fontId="1" type="noConversion"/>
  </si>
  <si>
    <t xml:space="preserve">유동인구 / 주변상가 정보 노출 </t>
    <phoneticPr fontId="1" type="noConversion"/>
  </si>
  <si>
    <t>지역별/반경 설정 범위내 매물리스트 구현</t>
    <phoneticPr fontId="1" type="noConversion"/>
  </si>
  <si>
    <t xml:space="preserve">추천검색어 기능 구현 </t>
    <phoneticPr fontId="1" type="noConversion"/>
  </si>
  <si>
    <t>한글 형태소 분석기 셋팅</t>
    <phoneticPr fontId="1" type="noConversion"/>
  </si>
  <si>
    <t xml:space="preserve">지도 좌표 이동시 HTML의 리스트 RELOAD  </t>
    <phoneticPr fontId="1" type="noConversion"/>
  </si>
  <si>
    <t>지도 조건 검색  구현</t>
    <phoneticPr fontId="1" type="noConversion"/>
  </si>
  <si>
    <t>유동인구 데이터 수집</t>
    <phoneticPr fontId="1" type="noConversion"/>
  </si>
  <si>
    <t>상가정보 데이터 수집</t>
    <phoneticPr fontId="1" type="noConversion"/>
  </si>
  <si>
    <t xml:space="preserve">프랜차이즈 정보 데이터 파싱 </t>
    <phoneticPr fontId="1" type="noConversion"/>
  </si>
  <si>
    <t xml:space="preserve">python 으로 구현된 파싱엔진 개발 HTML 파싱 </t>
    <phoneticPr fontId="1" type="noConversion"/>
  </si>
  <si>
    <t>XLS데이터 업로드 시스템 구현</t>
    <phoneticPr fontId="1" type="noConversion"/>
  </si>
  <si>
    <t>CURL을 통한 일일 데이터 수집 및 DB저장</t>
    <phoneticPr fontId="1" type="noConversion"/>
  </si>
  <si>
    <t>관리자모드 구현</t>
    <phoneticPr fontId="1" type="noConversion"/>
  </si>
  <si>
    <t>수집데이터 시각화 구현</t>
    <phoneticPr fontId="1" type="noConversion"/>
  </si>
  <si>
    <t>추가과업</t>
    <phoneticPr fontId="1" type="noConversion"/>
  </si>
  <si>
    <t>기 구축된 주소 데이터를 기반으로한 도로명 주소 데이터베이스 구축</t>
    <phoneticPr fontId="1" type="noConversion"/>
  </si>
  <si>
    <t>주소 디비 구축</t>
    <phoneticPr fontId="1" type="noConversion"/>
  </si>
  <si>
    <t xml:space="preserve">점포라인외 다른 사이트에서 사용가능하도록 프로그램 수정 </t>
    <phoneticPr fontId="1" type="noConversion"/>
  </si>
  <si>
    <t>검색엔진및 인덱싱 정보 구현</t>
    <phoneticPr fontId="1" type="noConversion"/>
  </si>
  <si>
    <t xml:space="preserve">각 정보에 대한 데이터 호출 API구현 </t>
    <phoneticPr fontId="1" type="noConversion"/>
  </si>
  <si>
    <t>API에서 요청 받은 정보를 DB프로시저 호출 모듈</t>
    <phoneticPr fontId="1" type="noConversion"/>
  </si>
  <si>
    <t>SELECT된 데이터를 JSON으로 OUTPUT 모듈</t>
    <phoneticPr fontId="1" type="noConversion"/>
  </si>
  <si>
    <t>웹사이트웨 다른 시스템에서 사용할 수 있는 시스템 구현</t>
    <phoneticPr fontId="1" type="noConversion"/>
  </si>
  <si>
    <t>앵귤러 기반의 지도 앱 로딩</t>
    <phoneticPr fontId="1" type="noConversion"/>
  </si>
  <si>
    <t xml:space="preserve">설정에 다른 실시간 지도 정보 로딩 </t>
    <phoneticPr fontId="1" type="noConversion"/>
  </si>
  <si>
    <t>요청한 지점의 좌표에 대한  매물정보 노출</t>
    <phoneticPr fontId="1" type="noConversion"/>
  </si>
  <si>
    <t xml:space="preserve">별도 레이어를 통한 주변 상가 정보 노출 </t>
    <phoneticPr fontId="1" type="noConversion"/>
  </si>
  <si>
    <t>반경 설정을 통한 다양한 정보들을 추가 적으로 리로딩</t>
    <phoneticPr fontId="1" type="noConversion"/>
  </si>
  <si>
    <t>현재 위치 값에 대한 정보 노출</t>
    <phoneticPr fontId="1" type="noConversion"/>
  </si>
  <si>
    <t>마우스 마킹을 통한 목적지와의 거리 측정 정보 노출</t>
    <phoneticPr fontId="1" type="noConversion"/>
  </si>
  <si>
    <t>지하철 정보 로딩 및  선택 가능한 지역으로 정보 노출</t>
    <phoneticPr fontId="1" type="noConversion"/>
  </si>
  <si>
    <t xml:space="preserve">메인배너의 지도내 노출 </t>
    <phoneticPr fontId="1" type="noConversion"/>
  </si>
  <si>
    <t xml:space="preserve">추천검색어 레이어 추가 </t>
    <phoneticPr fontId="1" type="noConversion"/>
  </si>
  <si>
    <t>지도내 검색 UI구성</t>
    <phoneticPr fontId="1" type="noConversion"/>
  </si>
  <si>
    <t>유로 / 무료 매물정보에 대한 차별적 노출 적용</t>
    <phoneticPr fontId="1" type="noConversion"/>
  </si>
  <si>
    <t>VIRTUAL BOX설치 및 LAMP시스템 세팅</t>
    <phoneticPr fontId="1" type="noConversion"/>
  </si>
  <si>
    <t>JAVA 설치 및 솔라검색엔진 세팅</t>
    <phoneticPr fontId="1" type="noConversion"/>
  </si>
  <si>
    <t>검색엔진의 인덱스 정보와 인덱스 디비 연동</t>
    <phoneticPr fontId="1" type="noConversion"/>
  </si>
  <si>
    <t>검색 수 에 따른 검색어 가중치 점수 적용시스템을 통한 검색시 우선 노출 값 적용</t>
    <phoneticPr fontId="1" type="noConversion"/>
  </si>
  <si>
    <t>한글 형태소 분석기 설치를 통한 검색어 인덱싱</t>
    <phoneticPr fontId="1" type="noConversion"/>
  </si>
  <si>
    <t>기 매물 정보의 디비를 인덱싱 디비에 적용</t>
    <phoneticPr fontId="1" type="noConversion"/>
  </si>
  <si>
    <t xml:space="preserve">매물 정보 데이터베이스 마이그레이션 </t>
    <phoneticPr fontId="1" type="noConversion"/>
  </si>
  <si>
    <t>지역정보와 좌표정보에 따른 매물리스트 구현</t>
    <phoneticPr fontId="1" type="noConversion"/>
  </si>
  <si>
    <t>매물을 선택 혹은 검색 시 해당 매물에 대한 정보를 창에 노출</t>
    <phoneticPr fontId="1" type="noConversion"/>
  </si>
  <si>
    <t xml:space="preserve">상세 내용중 유동인구 / 주변 상권 정보를 매물 정보 창에 노출 </t>
    <phoneticPr fontId="1" type="noConversion"/>
  </si>
  <si>
    <t>판매자 정보를 노출 함으로서 매물에 대한 신뢰도를 높일 수 있도록 정보 제공</t>
    <phoneticPr fontId="1" type="noConversion"/>
  </si>
  <si>
    <t>판매자 정보 창구현</t>
    <phoneticPr fontId="1" type="noConversion"/>
  </si>
  <si>
    <t xml:space="preserve">좌표이동 시 변경좌표 callback를 통하여  html 리스트에 적용 </t>
    <phoneticPr fontId="1" type="noConversion"/>
  </si>
  <si>
    <t>데이터를 호출시 case by case를 통한 정보를 api로 전달하여 결과값을 요청함</t>
    <phoneticPr fontId="1" type="noConversion"/>
  </si>
  <si>
    <t xml:space="preserve">mssql로  디버 정보를 호출하는 .net 프로그램 모듈 구현 </t>
    <phoneticPr fontId="1" type="noConversion"/>
  </si>
  <si>
    <t>mssql 에서 수정한 정보에 대하여 값을 반환하여 .json으로 데이터를 작성하는 모듈 구현</t>
    <phoneticPr fontId="1" type="noConversion"/>
  </si>
  <si>
    <t>주소정체</t>
    <phoneticPr fontId="1" type="noConversion"/>
  </si>
  <si>
    <t>주소정제</t>
    <phoneticPr fontId="1" type="noConversion"/>
  </si>
  <si>
    <t>매물지도</t>
    <phoneticPr fontId="1" type="noConversion"/>
  </si>
  <si>
    <t>M/M</t>
    <phoneticPr fontId="1" type="noConversion"/>
  </si>
  <si>
    <t>크롤링</t>
    <phoneticPr fontId="1" type="noConversion"/>
  </si>
  <si>
    <t>매물
지도</t>
    <phoneticPr fontId="1" type="noConversion"/>
  </si>
  <si>
    <t>매물
지도
추가
기능</t>
    <phoneticPr fontId="1" type="noConversion"/>
  </si>
  <si>
    <t>비고</t>
    <phoneticPr fontId="1" type="noConversion"/>
  </si>
  <si>
    <t>기획</t>
    <phoneticPr fontId="1" type="noConversion"/>
  </si>
  <si>
    <t>디자인</t>
    <phoneticPr fontId="1" type="noConversion"/>
  </si>
  <si>
    <t>개발(퍼블)</t>
    <phoneticPr fontId="1" type="noConversion"/>
  </si>
  <si>
    <t>업무</t>
    <phoneticPr fontId="1" type="noConversion"/>
  </si>
  <si>
    <t>합</t>
    <phoneticPr fontId="1" type="noConversion"/>
  </si>
  <si>
    <t>1차</t>
    <phoneticPr fontId="1" type="noConversion"/>
  </si>
  <si>
    <t>2차</t>
    <phoneticPr fontId="1" type="noConversion"/>
  </si>
  <si>
    <t>프랜차이즈 오픈시기에 따라 조정</t>
    <phoneticPr fontId="1" type="noConversion"/>
  </si>
  <si>
    <t>가맹점 정보 크롤링 + 주소정제 + 매물지도 개발</t>
    <phoneticPr fontId="1" type="noConversion"/>
  </si>
  <si>
    <t>버전</t>
  </si>
  <si>
    <t>버전</t>
    <phoneticPr fontId="1" type="noConversion"/>
  </si>
  <si>
    <t>3차</t>
    <phoneticPr fontId="1" type="noConversion"/>
  </si>
  <si>
    <t>진행순서</t>
    <phoneticPr fontId="1" type="noConversion"/>
  </si>
  <si>
    <t>1개월</t>
    <phoneticPr fontId="1" type="noConversion"/>
  </si>
  <si>
    <t>프로젝트 기간
(안정화 제외)</t>
    <phoneticPr fontId="1" type="noConversion"/>
  </si>
  <si>
    <t>개정 일자</t>
  </si>
  <si>
    <t>개정 내용 및 페이지</t>
  </si>
  <si>
    <t xml:space="preserve">관련 ID </t>
  </si>
  <si>
    <t>작성자</t>
  </si>
  <si>
    <t xml:space="preserve">확인자 </t>
  </si>
  <si>
    <t xml:space="preserve">TF </t>
  </si>
  <si>
    <t>최진환</t>
    <phoneticPr fontId="1" type="noConversion"/>
  </si>
  <si>
    <t xml:space="preserve">이일구 </t>
    <phoneticPr fontId="1" type="noConversion"/>
  </si>
  <si>
    <t>오디포유에서 최초 작성</t>
    <phoneticPr fontId="1" type="noConversion"/>
  </si>
  <si>
    <t>점포라인에서 업무별로 세분화해 공수 보정</t>
    <phoneticPr fontId="1" type="noConversion"/>
  </si>
  <si>
    <t>데이터
크롤링</t>
    <phoneticPr fontId="1" type="noConversion"/>
  </si>
  <si>
    <t>.NET 
디비호출 
모뮬</t>
    <phoneticPr fontId="1" type="noConversion"/>
  </si>
  <si>
    <t>데이터
호출 API</t>
    <phoneticPr fontId="1" type="noConversion"/>
  </si>
  <si>
    <t>계약서 첨부로 1.0으로 변경</t>
    <phoneticPr fontId="1" type="noConversion"/>
  </si>
  <si>
    <t>4개월</t>
    <phoneticPr fontId="1" type="noConversion"/>
  </si>
  <si>
    <t>6개월</t>
    <phoneticPr fontId="1" type="noConversion"/>
  </si>
  <si>
    <t>2명 투입 시 2개월</t>
    <phoneticPr fontId="1" type="noConversion"/>
  </si>
  <si>
    <t>개발자 2명 투입 시 4개월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</si>
</sst>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0.0_ "/>
    <numFmt numFmtId="177" formatCode="0_ "/>
    <numFmt numFmtId="178" formatCode="_-* #,##0.0_-;\-* #,##0.0_-;_-* &quot;-&quot;_-;_-@_-"/>
    <numFmt numFmtId="179" formatCode="0.0"/>
    <numFmt numFmtId="180" formatCode="m\.d\(aaa\)"/>
  </numFmts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8"/>
      <color indexed="81"/>
      <name val="맑은 고딕"/>
      <family val="3"/>
      <charset val="129"/>
    </font>
    <font>
      <sz val="11"/>
      <name val="돋움"/>
      <family val="3"/>
      <charset val="129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3"/>
      <charset val="129"/>
      <scheme val="major"/>
    </font>
    <font>
      <sz val="8"/>
      <color rgb="FF006100"/>
      <name val="맑은 고딕"/>
      <family val="2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</font>
    <font>
      <sz val="10"/>
      <color theme="0" tint="-0.14999847407452621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FF0000"/>
      <name val="맑은 고딕"/>
      <family val="3"/>
      <charset val="129"/>
    </font>
    <font>
      <strike/>
      <sz val="9"/>
      <color rgb="FFFF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</fills>
  <borders count="34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55"/>
      </left>
      <right style="hair">
        <color auto="1"/>
      </right>
      <top style="thin">
        <color indexed="55"/>
      </top>
      <bottom/>
      <diagonal/>
    </border>
    <border>
      <left style="thin">
        <color indexed="55"/>
      </left>
      <right style="hair">
        <color auto="1"/>
      </right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ck">
        <color rgb="FF000000"/>
      </top>
      <bottom style="thin">
        <color theme="0" tint="-0.499984740745262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medium">
        <color rgb="FFD9D9D9"/>
      </bottom>
      <diagonal/>
    </border>
    <border>
      <left style="thin">
        <color rgb="FF969696"/>
      </left>
      <right style="thin">
        <color rgb="FF969696"/>
      </right>
      <top style="thin">
        <color theme="0" tint="-0.499984740745262"/>
      </top>
      <bottom style="thin">
        <color rgb="FF969696"/>
      </bottom>
      <diagonal/>
    </border>
    <border>
      <left/>
      <right/>
      <top style="medium">
        <color rgb="FFD9D9D9"/>
      </top>
      <bottom style="medium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5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4" fillId="0" borderId="0"/>
  </cellStyleXfs>
  <cellXfs count="122">
    <xf numFmtId="0" fontId="0" fillId="0" borderId="0" xfId="0"/>
    <xf numFmtId="0" fontId="3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4" borderId="0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4" borderId="0" xfId="0" applyFont="1" applyFill="1" applyBorder="1"/>
    <xf numFmtId="0" fontId="3" fillId="2" borderId="0" xfId="0" applyFont="1" applyFill="1" applyBorder="1" applyAlignment="1">
      <alignment vertical="center"/>
    </xf>
    <xf numFmtId="0" fontId="3" fillId="6" borderId="0" xfId="0" applyFont="1" applyFill="1" applyBorder="1" applyAlignment="1">
      <alignment vertical="center"/>
    </xf>
    <xf numFmtId="0" fontId="9" fillId="6" borderId="0" xfId="0" applyFont="1" applyFill="1" applyBorder="1" applyAlignment="1">
      <alignment vertical="center"/>
    </xf>
    <xf numFmtId="176" fontId="4" fillId="2" borderId="0" xfId="0" applyNumberFormat="1" applyFont="1" applyFill="1" applyAlignment="1">
      <alignment vertical="center" wrapText="1"/>
    </xf>
    <xf numFmtId="176" fontId="4" fillId="0" borderId="7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10" fillId="5" borderId="7" xfId="1" applyFont="1" applyBorder="1" applyAlignment="1">
      <alignment horizontal="center" vertical="center" wrapText="1"/>
    </xf>
    <xf numFmtId="0" fontId="11" fillId="5" borderId="7" xfId="1" applyFont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 wrapText="1"/>
    </xf>
    <xf numFmtId="178" fontId="4" fillId="2" borderId="0" xfId="2" applyNumberFormat="1" applyFont="1" applyFill="1" applyAlignment="1">
      <alignment vertical="center" wrapText="1"/>
    </xf>
    <xf numFmtId="0" fontId="5" fillId="3" borderId="0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vertical="top" wrapText="1"/>
    </xf>
    <xf numFmtId="0" fontId="5" fillId="11" borderId="14" xfId="0" applyFont="1" applyFill="1" applyBorder="1" applyAlignment="1">
      <alignment vertical="center" wrapText="1"/>
    </xf>
    <xf numFmtId="0" fontId="5" fillId="11" borderId="15" xfId="0" applyFont="1" applyFill="1" applyBorder="1" applyAlignment="1">
      <alignment vertical="center" wrapText="1"/>
    </xf>
    <xf numFmtId="176" fontId="5" fillId="11" borderId="7" xfId="0" applyNumberFormat="1" applyFont="1" applyFill="1" applyBorder="1" applyAlignment="1">
      <alignment horizontal="center" vertical="center" wrapText="1"/>
    </xf>
    <xf numFmtId="176" fontId="5" fillId="7" borderId="7" xfId="0" applyNumberFormat="1" applyFont="1" applyFill="1" applyBorder="1" applyAlignment="1">
      <alignment horizontal="center" vertical="center" wrapText="1"/>
    </xf>
    <xf numFmtId="176" fontId="5" fillId="8" borderId="7" xfId="0" applyNumberFormat="1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179" fontId="4" fillId="4" borderId="21" xfId="0" applyNumberFormat="1" applyFont="1" applyFill="1" applyBorder="1" applyAlignment="1">
      <alignment horizontal="center" vertical="center"/>
    </xf>
    <xf numFmtId="179" fontId="4" fillId="4" borderId="21" xfId="0" applyNumberFormat="1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 vertical="center" wrapText="1"/>
    </xf>
    <xf numFmtId="179" fontId="4" fillId="2" borderId="21" xfId="0" applyNumberFormat="1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vertical="center"/>
    </xf>
    <xf numFmtId="0" fontId="5" fillId="13" borderId="4" xfId="0" applyFont="1" applyFill="1" applyBorder="1" applyAlignment="1"/>
    <xf numFmtId="0" fontId="5" fillId="13" borderId="21" xfId="0" applyFont="1" applyFill="1" applyBorder="1" applyAlignment="1">
      <alignment horizontal="center" vertical="center" wrapText="1"/>
    </xf>
    <xf numFmtId="0" fontId="2" fillId="6" borderId="0" xfId="3" applyFont="1" applyFill="1" applyBorder="1" applyAlignment="1">
      <alignment vertical="center"/>
    </xf>
    <xf numFmtId="0" fontId="14" fillId="0" borderId="0" xfId="3" applyFont="1" applyAlignment="1"/>
    <xf numFmtId="0" fontId="15" fillId="0" borderId="25" xfId="3" applyFont="1" applyBorder="1" applyAlignment="1">
      <alignment horizontal="center" vertical="center" wrapText="1" readingOrder="1"/>
    </xf>
    <xf numFmtId="0" fontId="2" fillId="6" borderId="26" xfId="3" applyFont="1" applyFill="1" applyBorder="1" applyAlignment="1">
      <alignment vertical="center"/>
    </xf>
    <xf numFmtId="176" fontId="16" fillId="0" borderId="27" xfId="3" applyNumberFormat="1" applyFont="1" applyBorder="1" applyAlignment="1">
      <alignment horizontal="center" vertical="center" wrapText="1" readingOrder="1"/>
    </xf>
    <xf numFmtId="180" fontId="3" fillId="0" borderId="28" xfId="3" applyNumberFormat="1" applyFont="1" applyBorder="1" applyAlignment="1">
      <alignment horizontal="center" vertical="center" wrapText="1"/>
    </xf>
    <xf numFmtId="0" fontId="17" fillId="0" borderId="27" xfId="3" applyFont="1" applyBorder="1" applyAlignment="1">
      <alignment horizontal="left" vertical="center" wrapText="1" readingOrder="1"/>
    </xf>
    <xf numFmtId="0" fontId="17" fillId="0" borderId="27" xfId="3" applyFont="1" applyBorder="1" applyAlignment="1">
      <alignment vertical="center" wrapText="1"/>
    </xf>
    <xf numFmtId="0" fontId="17" fillId="0" borderId="27" xfId="3" applyFont="1" applyBorder="1" applyAlignment="1">
      <alignment horizontal="center" vertical="center" wrapText="1" readingOrder="1"/>
    </xf>
    <xf numFmtId="0" fontId="2" fillId="6" borderId="29" xfId="3" applyFont="1" applyFill="1" applyBorder="1" applyAlignment="1">
      <alignment vertical="center"/>
    </xf>
    <xf numFmtId="176" fontId="16" fillId="0" borderId="30" xfId="3" applyNumberFormat="1" applyFont="1" applyBorder="1" applyAlignment="1">
      <alignment horizontal="center" vertical="center" wrapText="1" readingOrder="1"/>
    </xf>
    <xf numFmtId="180" fontId="3" fillId="0" borderId="31" xfId="3" applyNumberFormat="1" applyFont="1" applyBorder="1" applyAlignment="1">
      <alignment horizontal="center" vertical="center" wrapText="1"/>
    </xf>
    <xf numFmtId="0" fontId="17" fillId="0" borderId="30" xfId="3" applyFont="1" applyBorder="1" applyAlignment="1">
      <alignment horizontal="left" vertical="center" wrapText="1" readingOrder="1"/>
    </xf>
    <xf numFmtId="0" fontId="17" fillId="0" borderId="30" xfId="3" applyFont="1" applyBorder="1" applyAlignment="1">
      <alignment vertical="center" wrapText="1"/>
    </xf>
    <xf numFmtId="0" fontId="17" fillId="0" borderId="30" xfId="3" applyFont="1" applyBorder="1" applyAlignment="1">
      <alignment horizontal="center" vertical="center" wrapText="1" readingOrder="1"/>
    </xf>
    <xf numFmtId="179" fontId="16" fillId="0" borderId="32" xfId="3" applyNumberFormat="1" applyFont="1" applyBorder="1" applyAlignment="1">
      <alignment horizontal="center" vertical="center" wrapText="1"/>
    </xf>
    <xf numFmtId="0" fontId="17" fillId="0" borderId="32" xfId="3" applyFont="1" applyBorder="1" applyAlignment="1">
      <alignment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 readingOrder="1"/>
    </xf>
    <xf numFmtId="0" fontId="16" fillId="0" borderId="32" xfId="3" applyFont="1" applyBorder="1" applyAlignment="1">
      <alignment horizontal="center" vertical="center" wrapText="1"/>
    </xf>
    <xf numFmtId="176" fontId="16" fillId="0" borderId="32" xfId="3" applyNumberFormat="1" applyFont="1" applyBorder="1" applyAlignment="1">
      <alignment horizontal="center" vertical="center" wrapText="1"/>
    </xf>
    <xf numFmtId="0" fontId="18" fillId="0" borderId="32" xfId="3" applyFont="1" applyBorder="1" applyAlignment="1">
      <alignment vertical="center" wrapText="1"/>
    </xf>
    <xf numFmtId="0" fontId="5" fillId="13" borderId="24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2" fillId="12" borderId="33" xfId="0" applyFont="1" applyFill="1" applyBorder="1" applyAlignment="1">
      <alignment horizontal="center" vertical="center"/>
    </xf>
    <xf numFmtId="179" fontId="5" fillId="0" borderId="33" xfId="0" applyNumberFormat="1" applyFont="1" applyFill="1" applyBorder="1" applyAlignment="1">
      <alignment horizontal="center"/>
    </xf>
    <xf numFmtId="179" fontId="4" fillId="14" borderId="21" xfId="0" applyNumberFormat="1" applyFont="1" applyFill="1" applyBorder="1" applyAlignment="1">
      <alignment horizontal="center"/>
    </xf>
    <xf numFmtId="179" fontId="4" fillId="15" borderId="21" xfId="0" applyNumberFormat="1" applyFont="1" applyFill="1" applyBorder="1" applyAlignment="1">
      <alignment horizontal="center"/>
    </xf>
    <xf numFmtId="179" fontId="4" fillId="11" borderId="21" xfId="0" applyNumberFormat="1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left" vertical="center"/>
    </xf>
    <xf numFmtId="0" fontId="4" fillId="4" borderId="23" xfId="0" applyFont="1" applyFill="1" applyBorder="1" applyAlignment="1">
      <alignment horizontal="left" vertical="center"/>
    </xf>
    <xf numFmtId="0" fontId="4" fillId="4" borderId="24" xfId="0" applyFont="1" applyFill="1" applyBorder="1" applyAlignment="1">
      <alignment horizontal="left" vertical="center"/>
    </xf>
    <xf numFmtId="14" fontId="5" fillId="0" borderId="33" xfId="0" applyNumberFormat="1" applyFont="1" applyFill="1" applyBorder="1" applyAlignment="1">
      <alignment horizontal="center"/>
    </xf>
    <xf numFmtId="0" fontId="5" fillId="13" borderId="22" xfId="0" applyFont="1" applyFill="1" applyBorder="1" applyAlignment="1">
      <alignment horizontal="center" vertical="center" wrapText="1"/>
    </xf>
    <xf numFmtId="0" fontId="5" fillId="13" borderId="2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5" fillId="13" borderId="22" xfId="0" applyFont="1" applyFill="1" applyBorder="1" applyAlignment="1">
      <alignment horizontal="center" vertical="center"/>
    </xf>
    <xf numFmtId="0" fontId="5" fillId="13" borderId="23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/>
    </xf>
    <xf numFmtId="0" fontId="4" fillId="4" borderId="23" xfId="0" applyFont="1" applyFill="1" applyBorder="1" applyAlignment="1">
      <alignment horizontal="center"/>
    </xf>
    <xf numFmtId="0" fontId="4" fillId="4" borderId="24" xfId="0" applyFont="1" applyFill="1" applyBorder="1" applyAlignment="1">
      <alignment horizontal="center"/>
    </xf>
    <xf numFmtId="0" fontId="5" fillId="9" borderId="18" xfId="0" applyFont="1" applyFill="1" applyBorder="1" applyAlignment="1">
      <alignment horizontal="center" vertical="top" wrapText="1"/>
    </xf>
    <xf numFmtId="0" fontId="5" fillId="9" borderId="19" xfId="0" applyFont="1" applyFill="1" applyBorder="1" applyAlignment="1">
      <alignment horizontal="center" vertical="top" wrapText="1"/>
    </xf>
    <xf numFmtId="0" fontId="5" fillId="10" borderId="19" xfId="0" applyFont="1" applyFill="1" applyBorder="1" applyAlignment="1">
      <alignment horizontal="center" vertical="top" wrapText="1"/>
    </xf>
    <xf numFmtId="0" fontId="4" fillId="11" borderId="8" xfId="0" applyFont="1" applyFill="1" applyBorder="1" applyAlignment="1">
      <alignment horizontal="center" vertical="center" wrapText="1"/>
    </xf>
    <xf numFmtId="0" fontId="4" fillId="11" borderId="16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5" fillId="11" borderId="13" xfId="0" applyFont="1" applyFill="1" applyBorder="1" applyAlignment="1">
      <alignment horizontal="center" vertical="center" wrapText="1"/>
    </xf>
    <xf numFmtId="0" fontId="5" fillId="11" borderId="14" xfId="0" applyFont="1" applyFill="1" applyBorder="1" applyAlignment="1">
      <alignment horizontal="center" vertical="center" wrapText="1"/>
    </xf>
    <xf numFmtId="0" fontId="5" fillId="11" borderId="15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177" fontId="4" fillId="0" borderId="7" xfId="0" applyNumberFormat="1" applyFont="1" applyFill="1" applyBorder="1" applyAlignment="1">
      <alignment horizontal="left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2" fillId="12" borderId="33" xfId="0" applyFont="1" applyFill="1" applyBorder="1" applyAlignment="1">
      <alignment horizontal="center" vertical="center"/>
    </xf>
    <xf numFmtId="176" fontId="19" fillId="0" borderId="7" xfId="0" applyNumberFormat="1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left" vertical="center" wrapText="1"/>
    </xf>
  </cellXfs>
  <cellStyles count="4">
    <cellStyle name="쉼표 [0]" xfId="2" builtinId="6"/>
    <cellStyle name="좋음" xfId="1" builtinId="26"/>
    <cellStyle name="표준" xfId="0" builtinId="0"/>
    <cellStyle name="표준 2" xfId="3"/>
  </cellStyles>
  <dxfs count="46"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  <dxf>
      <fill>
        <patternFill patternType="none"/>
      </fill>
      <border>
        <top style="thin">
          <color rgb="FF969696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390525</xdr:colOff>
      <xdr:row>0</xdr:row>
      <xdr:rowOff>47625</xdr:rowOff>
    </xdr:from>
    <xdr:ext cx="520065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xmlns="" id="{F3B9597B-8318-4883-A04D-935678C7F6E8}"/>
            </a:ext>
          </a:extLst>
        </xdr:cNvPr>
        <xdr:cNvSpPr txBox="1"/>
      </xdr:nvSpPr>
      <xdr:spPr>
        <a:xfrm>
          <a:off x="381000" y="47625"/>
          <a:ext cx="52006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36575" tIns="32000" rIns="0" bIns="0" anchor="t" anchorCtr="0">
          <a:noAutofit/>
        </a:bodyPr>
        <a:lstStyle/>
        <a:p>
          <a:pPr marL="0" marR="0" lvl="0" indent="0" algn="l" rtl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■개정이력</a:t>
          </a:r>
          <a:endParaRPr sz="1200" b="1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54"/>
  <sheetViews>
    <sheetView tabSelected="1" zoomScale="85" zoomScaleNormal="85" workbookViewId="0">
      <pane ySplit="7" topLeftCell="A8" activePane="bottomLeft" state="frozen"/>
      <selection pane="bottomLeft" activeCell="U12" sqref="U12"/>
    </sheetView>
  </sheetViews>
  <sheetFormatPr defaultColWidth="8.77734375" defaultRowHeight="12"/>
  <cols>
    <col min="1" max="1" width="1.77734375" style="5" customWidth="1"/>
    <col min="2" max="2" width="5" style="5" hidden="1" customWidth="1"/>
    <col min="3" max="3" width="4.33203125" style="6" bestFit="1" customWidth="1"/>
    <col min="4" max="4" width="4" style="6" bestFit="1" customWidth="1"/>
    <col min="5" max="5" width="4.77734375" style="7" customWidth="1"/>
    <col min="6" max="6" width="32.88671875" style="6" customWidth="1"/>
    <col min="7" max="8" width="6.6640625" style="6" bestFit="1" customWidth="1"/>
    <col min="9" max="12" width="6.77734375" style="6" customWidth="1"/>
    <col min="13" max="15" width="5.33203125" style="6" bestFit="1" customWidth="1"/>
    <col min="16" max="16" width="6.6640625" style="6" customWidth="1"/>
    <col min="17" max="17" width="5.33203125" style="6" bestFit="1" customWidth="1"/>
    <col min="18" max="18" width="15.88671875" style="6" customWidth="1"/>
    <col min="19" max="19" width="5.109375" style="1" customWidth="1"/>
    <col min="20" max="16384" width="8.77734375" style="1"/>
  </cols>
  <sheetData>
    <row r="1" spans="1:30" ht="5.25" customHeight="1">
      <c r="U1" s="9"/>
      <c r="V1" s="9"/>
      <c r="W1" s="9"/>
      <c r="X1" s="9"/>
      <c r="Y1" s="10"/>
      <c r="Z1" s="10"/>
      <c r="AA1" s="9"/>
    </row>
    <row r="2" spans="1:30" s="3" customFormat="1" ht="26.25" customHeight="1">
      <c r="A2" s="8"/>
      <c r="B2" s="34"/>
      <c r="C2" s="63" t="s">
        <v>2</v>
      </c>
      <c r="D2" s="119" t="s">
        <v>95</v>
      </c>
      <c r="E2" s="119"/>
      <c r="F2" s="119"/>
      <c r="G2" s="59" t="s">
        <v>99</v>
      </c>
      <c r="H2" s="33" t="s">
        <v>90</v>
      </c>
      <c r="I2" s="33" t="s">
        <v>87</v>
      </c>
      <c r="J2" s="33" t="s">
        <v>88</v>
      </c>
      <c r="K2" s="33" t="s">
        <v>89</v>
      </c>
      <c r="L2" s="33" t="s">
        <v>9</v>
      </c>
      <c r="M2" s="36" t="s">
        <v>82</v>
      </c>
      <c r="N2" s="72" t="s">
        <v>101</v>
      </c>
      <c r="O2" s="73"/>
      <c r="P2" s="76" t="s">
        <v>86</v>
      </c>
      <c r="Q2" s="77"/>
      <c r="R2" s="73"/>
      <c r="T2" s="1"/>
      <c r="U2" s="9"/>
      <c r="V2" s="9"/>
      <c r="W2" s="9"/>
      <c r="X2" s="9"/>
      <c r="Y2" s="10"/>
      <c r="Z2" s="10"/>
      <c r="AA2" s="9"/>
      <c r="AB2" s="1"/>
      <c r="AC2" s="1"/>
      <c r="AD2" s="1"/>
    </row>
    <row r="3" spans="1:30" s="3" customFormat="1" ht="16.5">
      <c r="A3" s="8"/>
      <c r="B3" s="35"/>
      <c r="C3" s="61" t="s">
        <v>97</v>
      </c>
      <c r="D3" s="64">
        <f>'02.개정이력'!B9</f>
        <v>1</v>
      </c>
      <c r="E3" s="71">
        <f>'02.개정이력'!C8</f>
        <v>43220</v>
      </c>
      <c r="F3" s="71"/>
      <c r="G3" s="60" t="s">
        <v>92</v>
      </c>
      <c r="H3" s="28" t="s">
        <v>83</v>
      </c>
      <c r="I3" s="29">
        <v>0</v>
      </c>
      <c r="J3" s="30">
        <v>0</v>
      </c>
      <c r="K3" s="65">
        <f>P44</f>
        <v>18.5</v>
      </c>
      <c r="L3" s="30">
        <f>SUM(I3:K3)</f>
        <v>18.5</v>
      </c>
      <c r="M3" s="29">
        <f>L3/G6</f>
        <v>0.88095238095238093</v>
      </c>
      <c r="N3" s="74" t="s">
        <v>100</v>
      </c>
      <c r="O3" s="75"/>
      <c r="P3" s="68" t="s">
        <v>94</v>
      </c>
      <c r="Q3" s="69"/>
      <c r="R3" s="70"/>
      <c r="T3" s="1"/>
      <c r="U3" s="9"/>
      <c r="V3" s="9"/>
      <c r="W3" s="9"/>
      <c r="X3" s="9"/>
      <c r="Y3" s="10"/>
      <c r="Z3" s="10"/>
      <c r="AA3" s="9"/>
      <c r="AB3" s="1"/>
      <c r="AC3" s="1"/>
      <c r="AD3" s="1"/>
    </row>
    <row r="4" spans="1:30" s="3" customFormat="1" ht="16.5">
      <c r="A4" s="8"/>
      <c r="B4" s="35"/>
      <c r="C4" s="6"/>
      <c r="D4" s="6"/>
      <c r="E4" s="7"/>
      <c r="F4" s="6"/>
      <c r="G4" s="28" t="s">
        <v>93</v>
      </c>
      <c r="H4" s="28" t="s">
        <v>80</v>
      </c>
      <c r="I4" s="29">
        <v>3</v>
      </c>
      <c r="J4" s="30">
        <v>0</v>
      </c>
      <c r="K4" s="66">
        <f>P47</f>
        <v>20.666666666666664</v>
      </c>
      <c r="L4" s="30">
        <f>SUM(I4:K4)</f>
        <v>23.666666666666664</v>
      </c>
      <c r="M4" s="29">
        <f>L4/G6</f>
        <v>1.126984126984127</v>
      </c>
      <c r="N4" s="74" t="s">
        <v>100</v>
      </c>
      <c r="O4" s="75"/>
      <c r="P4" s="78"/>
      <c r="Q4" s="79"/>
      <c r="R4" s="80"/>
      <c r="T4" s="1"/>
      <c r="U4" s="9"/>
      <c r="V4" s="9"/>
      <c r="W4" s="9"/>
      <c r="X4" s="9"/>
      <c r="Y4" s="10"/>
      <c r="Z4" s="10"/>
      <c r="AA4" s="9"/>
      <c r="AB4" s="1"/>
      <c r="AC4" s="1"/>
      <c r="AD4" s="1"/>
    </row>
    <row r="5" spans="1:30" ht="20.25" customHeight="1">
      <c r="G5" s="31" t="s">
        <v>98</v>
      </c>
      <c r="H5" s="28" t="s">
        <v>81</v>
      </c>
      <c r="I5" s="32">
        <v>18</v>
      </c>
      <c r="J5" s="32">
        <v>10.5</v>
      </c>
      <c r="K5" s="67">
        <f>SUM(P22,P29,P35,P39)-9.5</f>
        <v>59.47999999999999</v>
      </c>
      <c r="L5" s="29">
        <f>SUM(I5:K5)</f>
        <v>87.97999999999999</v>
      </c>
      <c r="M5" s="29">
        <f>L5/G6</f>
        <v>4.1895238095238092</v>
      </c>
      <c r="N5" s="74" t="s">
        <v>116</v>
      </c>
      <c r="O5" s="75"/>
      <c r="P5" s="68" t="s">
        <v>118</v>
      </c>
      <c r="Q5" s="69"/>
      <c r="R5" s="70"/>
      <c r="U5" s="9"/>
      <c r="V5" s="9"/>
      <c r="W5" s="9"/>
      <c r="X5" s="9"/>
      <c r="Y5" s="10"/>
      <c r="Z5" s="10"/>
      <c r="AA5" s="9"/>
    </row>
    <row r="6" spans="1:30" ht="20.25" customHeight="1">
      <c r="G6" s="27">
        <v>21</v>
      </c>
      <c r="H6" s="28" t="s">
        <v>91</v>
      </c>
      <c r="I6" s="32">
        <f>SUM(I3:I5)</f>
        <v>21</v>
      </c>
      <c r="J6" s="32">
        <f t="shared" ref="J6:L6" si="0">SUM(J3:J5)</f>
        <v>10.5</v>
      </c>
      <c r="K6" s="32">
        <f>SUM(K3:K5)</f>
        <v>98.646666666666647</v>
      </c>
      <c r="L6" s="32">
        <f t="shared" si="0"/>
        <v>130.14666666666665</v>
      </c>
      <c r="M6" s="32">
        <f>SUM(M3:M5)</f>
        <v>6.1974603174603171</v>
      </c>
      <c r="N6" s="74" t="s">
        <v>117</v>
      </c>
      <c r="O6" s="75"/>
      <c r="P6" s="68" t="s">
        <v>119</v>
      </c>
      <c r="Q6" s="69"/>
      <c r="R6" s="70"/>
      <c r="U6" s="9"/>
      <c r="V6" s="9"/>
      <c r="W6" s="9"/>
      <c r="X6" s="9"/>
      <c r="Y6" s="10"/>
      <c r="Z6" s="10"/>
      <c r="AA6" s="9"/>
    </row>
    <row r="7" spans="1:30" ht="8.25" customHeight="1">
      <c r="E7" s="6"/>
      <c r="S7" s="6"/>
      <c r="T7" s="6"/>
      <c r="U7" s="9"/>
      <c r="V7" s="9"/>
      <c r="W7" s="9"/>
      <c r="X7" s="9"/>
      <c r="Y7" s="10"/>
      <c r="Z7" s="10"/>
      <c r="AA7" s="9"/>
    </row>
    <row r="8" spans="1:30" ht="24" customHeight="1">
      <c r="B8" s="116" t="s">
        <v>3</v>
      </c>
      <c r="C8" s="116" t="s">
        <v>3</v>
      </c>
      <c r="D8" s="116"/>
      <c r="E8" s="116" t="s">
        <v>4</v>
      </c>
      <c r="F8" s="116"/>
      <c r="G8" s="116" t="s">
        <v>5</v>
      </c>
      <c r="H8" s="116"/>
      <c r="I8" s="116"/>
      <c r="J8" s="116"/>
      <c r="K8" s="116"/>
      <c r="L8" s="116"/>
      <c r="M8" s="2" t="s">
        <v>6</v>
      </c>
      <c r="N8" s="2" t="s">
        <v>7</v>
      </c>
      <c r="O8" s="2" t="s">
        <v>8</v>
      </c>
      <c r="P8" s="2" t="s">
        <v>9</v>
      </c>
      <c r="Q8" s="116" t="s">
        <v>0</v>
      </c>
      <c r="R8" s="116" t="s">
        <v>86</v>
      </c>
      <c r="U8" s="9"/>
      <c r="V8" s="9"/>
      <c r="W8" s="9"/>
      <c r="X8" s="9"/>
      <c r="Y8" s="10"/>
      <c r="Z8" s="10"/>
      <c r="AA8" s="9"/>
    </row>
    <row r="9" spans="1:30" ht="24" customHeight="1">
      <c r="B9" s="117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4" t="s">
        <v>10</v>
      </c>
      <c r="N9" s="4" t="s">
        <v>10</v>
      </c>
      <c r="O9" s="4" t="s">
        <v>10</v>
      </c>
      <c r="P9" s="4" t="s">
        <v>10</v>
      </c>
      <c r="Q9" s="118"/>
      <c r="R9" s="118"/>
      <c r="U9" s="9"/>
      <c r="V9" s="9"/>
      <c r="W9" s="9"/>
      <c r="X9" s="9"/>
      <c r="Y9" s="10"/>
      <c r="Z9" s="10"/>
      <c r="AA9" s="9"/>
    </row>
    <row r="10" spans="1:30" ht="24" customHeight="1">
      <c r="B10" s="81" t="s">
        <v>84</v>
      </c>
      <c r="C10" s="101" t="s">
        <v>11</v>
      </c>
      <c r="D10" s="102"/>
      <c r="E10" s="121" t="s">
        <v>12</v>
      </c>
      <c r="F10" s="121"/>
      <c r="G10" s="121" t="s">
        <v>51</v>
      </c>
      <c r="H10" s="121"/>
      <c r="I10" s="121"/>
      <c r="J10" s="121"/>
      <c r="K10" s="121"/>
      <c r="L10" s="121"/>
      <c r="M10" s="120">
        <v>1</v>
      </c>
      <c r="N10" s="120">
        <v>0.3</v>
      </c>
      <c r="O10" s="120">
        <v>0.5</v>
      </c>
      <c r="P10" s="120">
        <f>AVERAGE(M10:O10)</f>
        <v>0.6</v>
      </c>
      <c r="Q10" s="14" t="s">
        <v>1</v>
      </c>
      <c r="R10" s="15"/>
      <c r="U10" s="9"/>
      <c r="V10" s="9"/>
      <c r="W10" s="9"/>
      <c r="X10" s="9"/>
      <c r="Y10" s="10"/>
      <c r="Z10" s="10"/>
      <c r="AA10" s="9"/>
    </row>
    <row r="11" spans="1:30" ht="24" customHeight="1">
      <c r="B11" s="82"/>
      <c r="C11" s="103"/>
      <c r="D11" s="104"/>
      <c r="E11" s="121" t="s">
        <v>13</v>
      </c>
      <c r="F11" s="121"/>
      <c r="G11" s="121" t="s">
        <v>52</v>
      </c>
      <c r="H11" s="121"/>
      <c r="I11" s="121"/>
      <c r="J11" s="121"/>
      <c r="K11" s="121"/>
      <c r="L11" s="121"/>
      <c r="M11" s="120">
        <v>1</v>
      </c>
      <c r="N11" s="120">
        <v>0.5</v>
      </c>
      <c r="O11" s="120">
        <v>0.75</v>
      </c>
      <c r="P11" s="120">
        <f t="shared" ref="P11:P46" si="1">AVERAGE(M11:O11)</f>
        <v>0.75</v>
      </c>
      <c r="Q11" s="14" t="s">
        <v>1</v>
      </c>
      <c r="R11" s="15"/>
      <c r="U11" s="9"/>
      <c r="V11" s="9"/>
      <c r="W11" s="9"/>
      <c r="X11" s="9"/>
      <c r="Y11" s="10"/>
      <c r="Z11" s="10"/>
      <c r="AA11" s="9"/>
    </row>
    <row r="12" spans="1:30" ht="24" customHeight="1">
      <c r="B12" s="82"/>
      <c r="C12" s="103"/>
      <c r="D12" s="104"/>
      <c r="E12" s="121" t="s">
        <v>14</v>
      </c>
      <c r="F12" s="121"/>
      <c r="G12" s="121" t="s">
        <v>53</v>
      </c>
      <c r="H12" s="121"/>
      <c r="I12" s="121"/>
      <c r="J12" s="121"/>
      <c r="K12" s="121"/>
      <c r="L12" s="121"/>
      <c r="M12" s="120">
        <v>1</v>
      </c>
      <c r="N12" s="120">
        <v>0.5</v>
      </c>
      <c r="O12" s="120">
        <v>0.7</v>
      </c>
      <c r="P12" s="120">
        <f t="shared" si="1"/>
        <v>0.73333333333333339</v>
      </c>
      <c r="Q12" s="14" t="s">
        <v>1</v>
      </c>
      <c r="R12" s="15"/>
      <c r="U12" s="9"/>
      <c r="V12" s="9"/>
      <c r="W12" s="9"/>
      <c r="X12" s="9"/>
      <c r="Y12" s="10"/>
      <c r="Z12" s="10"/>
      <c r="AA12" s="9"/>
    </row>
    <row r="13" spans="1:30" ht="24" customHeight="1">
      <c r="B13" s="82"/>
      <c r="C13" s="103"/>
      <c r="D13" s="104"/>
      <c r="E13" s="108" t="s">
        <v>25</v>
      </c>
      <c r="F13" s="108"/>
      <c r="G13" s="108" t="s">
        <v>54</v>
      </c>
      <c r="H13" s="108"/>
      <c r="I13" s="108"/>
      <c r="J13" s="108"/>
      <c r="K13" s="108"/>
      <c r="L13" s="108"/>
      <c r="M13" s="13">
        <v>3</v>
      </c>
      <c r="N13" s="13">
        <v>2</v>
      </c>
      <c r="O13" s="13">
        <v>2.5</v>
      </c>
      <c r="P13" s="13">
        <f t="shared" si="1"/>
        <v>2.5</v>
      </c>
      <c r="Q13" s="14" t="s">
        <v>1</v>
      </c>
      <c r="R13" s="15"/>
      <c r="U13" s="9"/>
      <c r="V13" s="9"/>
      <c r="W13" s="9"/>
      <c r="X13" s="9"/>
      <c r="Y13" s="10"/>
      <c r="Z13" s="10"/>
      <c r="AA13" s="9"/>
    </row>
    <row r="14" spans="1:30" ht="24" customHeight="1">
      <c r="B14" s="82"/>
      <c r="C14" s="103"/>
      <c r="D14" s="104"/>
      <c r="E14" s="108" t="s">
        <v>15</v>
      </c>
      <c r="F14" s="108"/>
      <c r="G14" s="108" t="s">
        <v>55</v>
      </c>
      <c r="H14" s="108"/>
      <c r="I14" s="108"/>
      <c r="J14" s="108"/>
      <c r="K14" s="108"/>
      <c r="L14" s="108"/>
      <c r="M14" s="13">
        <v>2</v>
      </c>
      <c r="N14" s="13">
        <v>1</v>
      </c>
      <c r="O14" s="13">
        <v>1.5</v>
      </c>
      <c r="P14" s="13">
        <f t="shared" si="1"/>
        <v>1.5</v>
      </c>
      <c r="Q14" s="14" t="s">
        <v>1</v>
      </c>
      <c r="R14" s="15"/>
      <c r="U14" s="9"/>
      <c r="V14" s="9"/>
      <c r="W14" s="9"/>
      <c r="X14" s="9"/>
      <c r="Y14" s="10"/>
      <c r="Z14" s="10"/>
      <c r="AA14" s="9"/>
    </row>
    <row r="15" spans="1:30" ht="24" customHeight="1">
      <c r="B15" s="82"/>
      <c r="C15" s="103"/>
      <c r="D15" s="104"/>
      <c r="E15" s="108" t="s">
        <v>20</v>
      </c>
      <c r="F15" s="108"/>
      <c r="G15" s="108" t="s">
        <v>56</v>
      </c>
      <c r="H15" s="108"/>
      <c r="I15" s="108"/>
      <c r="J15" s="108"/>
      <c r="K15" s="108"/>
      <c r="L15" s="108"/>
      <c r="M15" s="13">
        <v>0.5</v>
      </c>
      <c r="N15" s="13">
        <v>0.5</v>
      </c>
      <c r="O15" s="13">
        <v>0.5</v>
      </c>
      <c r="P15" s="13">
        <f t="shared" si="1"/>
        <v>0.5</v>
      </c>
      <c r="Q15" s="14" t="s">
        <v>1</v>
      </c>
      <c r="R15" s="15"/>
      <c r="U15" s="9"/>
      <c r="V15" s="9"/>
      <c r="W15" s="9"/>
      <c r="X15" s="9"/>
      <c r="Y15" s="10"/>
      <c r="Z15" s="10"/>
      <c r="AA15" s="9"/>
    </row>
    <row r="16" spans="1:30" ht="24" customHeight="1">
      <c r="B16" s="82"/>
      <c r="C16" s="103"/>
      <c r="D16" s="104"/>
      <c r="E16" s="108" t="s">
        <v>24</v>
      </c>
      <c r="F16" s="108"/>
      <c r="G16" s="108" t="s">
        <v>57</v>
      </c>
      <c r="H16" s="108"/>
      <c r="I16" s="108"/>
      <c r="J16" s="108"/>
      <c r="K16" s="108"/>
      <c r="L16" s="108"/>
      <c r="M16" s="13">
        <v>1</v>
      </c>
      <c r="N16" s="13">
        <v>0.5</v>
      </c>
      <c r="O16" s="13">
        <v>0.7</v>
      </c>
      <c r="P16" s="13">
        <f t="shared" si="1"/>
        <v>0.73333333333333339</v>
      </c>
      <c r="Q16" s="14" t="s">
        <v>1</v>
      </c>
      <c r="R16" s="15"/>
      <c r="U16" s="9"/>
      <c r="V16" s="9"/>
      <c r="W16" s="62"/>
      <c r="X16" s="9"/>
      <c r="Y16" s="10"/>
      <c r="Z16" s="10"/>
      <c r="AA16" s="9"/>
    </row>
    <row r="17" spans="2:27" ht="24" customHeight="1">
      <c r="B17" s="82"/>
      <c r="C17" s="103"/>
      <c r="D17" s="104"/>
      <c r="E17" s="108" t="s">
        <v>23</v>
      </c>
      <c r="F17" s="108"/>
      <c r="G17" s="108" t="s">
        <v>58</v>
      </c>
      <c r="H17" s="108"/>
      <c r="I17" s="108"/>
      <c r="J17" s="108"/>
      <c r="K17" s="108"/>
      <c r="L17" s="108"/>
      <c r="M17" s="13">
        <v>3</v>
      </c>
      <c r="N17" s="13">
        <v>1.5</v>
      </c>
      <c r="O17" s="13">
        <v>2</v>
      </c>
      <c r="P17" s="13">
        <f t="shared" si="1"/>
        <v>2.1666666666666665</v>
      </c>
      <c r="Q17" s="14" t="s">
        <v>1</v>
      </c>
      <c r="R17" s="15"/>
      <c r="U17" s="9"/>
      <c r="V17" s="9"/>
      <c r="W17" s="9"/>
      <c r="X17" s="9"/>
      <c r="Y17" s="10"/>
      <c r="Z17" s="10"/>
      <c r="AA17" s="9"/>
    </row>
    <row r="18" spans="2:27" ht="24" customHeight="1">
      <c r="B18" s="82"/>
      <c r="C18" s="103"/>
      <c r="D18" s="104"/>
      <c r="E18" s="108" t="s">
        <v>21</v>
      </c>
      <c r="F18" s="108"/>
      <c r="G18" s="108" t="s">
        <v>59</v>
      </c>
      <c r="H18" s="108"/>
      <c r="I18" s="108"/>
      <c r="J18" s="108"/>
      <c r="K18" s="108"/>
      <c r="L18" s="108"/>
      <c r="M18" s="13">
        <v>2</v>
      </c>
      <c r="N18" s="13">
        <v>1</v>
      </c>
      <c r="O18" s="13">
        <v>1.5</v>
      </c>
      <c r="P18" s="13">
        <f t="shared" si="1"/>
        <v>1.5</v>
      </c>
      <c r="Q18" s="14" t="s">
        <v>1</v>
      </c>
      <c r="R18" s="15"/>
      <c r="U18" s="9"/>
      <c r="V18" s="9"/>
      <c r="W18" s="9"/>
      <c r="X18" s="9"/>
      <c r="Y18" s="10"/>
      <c r="Z18" s="10"/>
      <c r="AA18" s="9"/>
    </row>
    <row r="19" spans="2:27" ht="24" customHeight="1">
      <c r="B19" s="82"/>
      <c r="C19" s="103"/>
      <c r="D19" s="104"/>
      <c r="E19" s="108" t="s">
        <v>30</v>
      </c>
      <c r="F19" s="108"/>
      <c r="G19" s="108" t="s">
        <v>60</v>
      </c>
      <c r="H19" s="108"/>
      <c r="I19" s="108"/>
      <c r="J19" s="108"/>
      <c r="K19" s="108"/>
      <c r="L19" s="108"/>
      <c r="M19" s="13">
        <v>2</v>
      </c>
      <c r="N19" s="13">
        <v>1</v>
      </c>
      <c r="O19" s="13">
        <v>1.5</v>
      </c>
      <c r="P19" s="13">
        <f t="shared" si="1"/>
        <v>1.5</v>
      </c>
      <c r="Q19" s="14" t="s">
        <v>1</v>
      </c>
      <c r="R19" s="15"/>
      <c r="U19" s="9"/>
      <c r="V19" s="9"/>
      <c r="W19" s="9"/>
      <c r="X19" s="9"/>
      <c r="Y19" s="10"/>
      <c r="Z19" s="10"/>
      <c r="AA19" s="9"/>
    </row>
    <row r="20" spans="2:27" ht="24" customHeight="1">
      <c r="B20" s="82"/>
      <c r="C20" s="103"/>
      <c r="D20" s="104"/>
      <c r="E20" s="108" t="s">
        <v>33</v>
      </c>
      <c r="F20" s="108"/>
      <c r="G20" s="108" t="s">
        <v>61</v>
      </c>
      <c r="H20" s="108"/>
      <c r="I20" s="108"/>
      <c r="J20" s="108"/>
      <c r="K20" s="108"/>
      <c r="L20" s="108"/>
      <c r="M20" s="13">
        <v>10</v>
      </c>
      <c r="N20" s="13">
        <v>4</v>
      </c>
      <c r="O20" s="13">
        <v>7</v>
      </c>
      <c r="P20" s="13">
        <f t="shared" si="1"/>
        <v>7</v>
      </c>
      <c r="Q20" s="14" t="s">
        <v>1</v>
      </c>
      <c r="R20" s="15"/>
      <c r="U20" s="9"/>
      <c r="V20" s="9"/>
      <c r="W20" s="9"/>
      <c r="X20" s="9"/>
      <c r="Y20" s="10"/>
      <c r="Z20" s="10"/>
      <c r="AA20" s="9"/>
    </row>
    <row r="21" spans="2:27" ht="24" customHeight="1">
      <c r="B21" s="82"/>
      <c r="C21" s="103"/>
      <c r="D21" s="104"/>
      <c r="E21" s="108" t="s">
        <v>22</v>
      </c>
      <c r="F21" s="108"/>
      <c r="G21" s="108" t="s">
        <v>62</v>
      </c>
      <c r="H21" s="108"/>
      <c r="I21" s="108"/>
      <c r="J21" s="108"/>
      <c r="K21" s="108"/>
      <c r="L21" s="108"/>
      <c r="M21" s="13">
        <v>1</v>
      </c>
      <c r="N21" s="13">
        <v>0.7</v>
      </c>
      <c r="O21" s="13">
        <v>0.9</v>
      </c>
      <c r="P21" s="13">
        <f t="shared" si="1"/>
        <v>0.8666666666666667</v>
      </c>
      <c r="Q21" s="14" t="s">
        <v>1</v>
      </c>
      <c r="R21" s="15"/>
      <c r="U21" s="9"/>
      <c r="V21" s="9"/>
      <c r="W21" s="9"/>
      <c r="X21" s="9"/>
      <c r="Y21" s="10"/>
      <c r="Z21" s="10"/>
      <c r="AA21" s="9"/>
    </row>
    <row r="22" spans="2:27" ht="24" customHeight="1">
      <c r="B22" s="82"/>
      <c r="C22" s="22"/>
      <c r="D22" s="23"/>
      <c r="E22" s="107"/>
      <c r="F22" s="107"/>
      <c r="G22" s="107"/>
      <c r="H22" s="107"/>
      <c r="I22" s="107"/>
      <c r="J22" s="107"/>
      <c r="K22" s="107"/>
      <c r="L22" s="107"/>
      <c r="M22" s="24">
        <f>SUM(M10:M21)</f>
        <v>27.5</v>
      </c>
      <c r="N22" s="24">
        <f t="shared" ref="N22:P22" si="2">SUM(N10:N21)</f>
        <v>13.5</v>
      </c>
      <c r="O22" s="24">
        <f t="shared" si="2"/>
        <v>20.049999999999997</v>
      </c>
      <c r="P22" s="24">
        <f t="shared" si="2"/>
        <v>20.350000000000001</v>
      </c>
      <c r="Q22" s="14" t="s">
        <v>1</v>
      </c>
      <c r="R22" s="15"/>
      <c r="U22" s="9"/>
      <c r="V22" s="9"/>
      <c r="W22" s="9"/>
      <c r="X22" s="9"/>
      <c r="Y22" s="10"/>
      <c r="Z22" s="10"/>
      <c r="AA22" s="9"/>
    </row>
    <row r="23" spans="2:27" ht="24" customHeight="1">
      <c r="B23" s="82"/>
      <c r="C23" s="101" t="s">
        <v>16</v>
      </c>
      <c r="D23" s="102"/>
      <c r="E23" s="114" t="s">
        <v>17</v>
      </c>
      <c r="F23" s="114"/>
      <c r="G23" s="114" t="s">
        <v>63</v>
      </c>
      <c r="H23" s="114"/>
      <c r="I23" s="114"/>
      <c r="J23" s="114"/>
      <c r="K23" s="114"/>
      <c r="L23" s="114"/>
      <c r="M23" s="13">
        <v>1</v>
      </c>
      <c r="N23" s="13">
        <v>1</v>
      </c>
      <c r="O23" s="13">
        <v>1</v>
      </c>
      <c r="P23" s="13">
        <f t="shared" si="1"/>
        <v>1</v>
      </c>
      <c r="Q23" s="14" t="s">
        <v>1</v>
      </c>
      <c r="R23" s="15"/>
      <c r="U23" s="9"/>
      <c r="V23" s="9"/>
      <c r="W23" s="9"/>
      <c r="X23" s="9"/>
      <c r="Y23" s="10"/>
      <c r="Z23" s="10"/>
      <c r="AA23" s="9"/>
    </row>
    <row r="24" spans="2:27" ht="24" customHeight="1">
      <c r="B24" s="82"/>
      <c r="C24" s="103"/>
      <c r="D24" s="104"/>
      <c r="E24" s="114" t="s">
        <v>18</v>
      </c>
      <c r="F24" s="114"/>
      <c r="G24" s="114" t="s">
        <v>64</v>
      </c>
      <c r="H24" s="114"/>
      <c r="I24" s="114"/>
      <c r="J24" s="114"/>
      <c r="K24" s="114"/>
      <c r="L24" s="114"/>
      <c r="M24" s="13">
        <v>2</v>
      </c>
      <c r="N24" s="13">
        <v>1</v>
      </c>
      <c r="O24" s="13">
        <v>1.5</v>
      </c>
      <c r="P24" s="13">
        <f t="shared" si="1"/>
        <v>1.5</v>
      </c>
      <c r="Q24" s="14" t="s">
        <v>1</v>
      </c>
      <c r="R24" s="15"/>
      <c r="U24" s="9"/>
      <c r="V24" s="10"/>
      <c r="W24" s="9"/>
      <c r="X24" s="9"/>
      <c r="Y24" s="10"/>
      <c r="Z24" s="10"/>
      <c r="AA24" s="9"/>
    </row>
    <row r="25" spans="2:27" ht="24" customHeight="1">
      <c r="B25" s="82"/>
      <c r="C25" s="103"/>
      <c r="D25" s="104"/>
      <c r="E25" s="114" t="s">
        <v>46</v>
      </c>
      <c r="F25" s="114"/>
      <c r="G25" s="114" t="s">
        <v>65</v>
      </c>
      <c r="H25" s="114"/>
      <c r="I25" s="114"/>
      <c r="J25" s="114"/>
      <c r="K25" s="114"/>
      <c r="L25" s="114"/>
      <c r="M25" s="13">
        <v>2</v>
      </c>
      <c r="N25" s="13">
        <v>1</v>
      </c>
      <c r="O25" s="13">
        <v>1.5</v>
      </c>
      <c r="P25" s="13">
        <f t="shared" si="1"/>
        <v>1.5</v>
      </c>
      <c r="Q25" s="14" t="s">
        <v>1</v>
      </c>
      <c r="R25" s="15"/>
      <c r="U25" s="9"/>
      <c r="V25" s="10"/>
      <c r="W25" s="9"/>
      <c r="X25" s="9"/>
      <c r="Y25" s="10"/>
      <c r="Z25" s="10"/>
      <c r="AA25" s="9"/>
    </row>
    <row r="26" spans="2:27" ht="24" customHeight="1">
      <c r="B26" s="82"/>
      <c r="C26" s="103"/>
      <c r="D26" s="104"/>
      <c r="E26" s="114" t="s">
        <v>19</v>
      </c>
      <c r="F26" s="114"/>
      <c r="G26" s="114" t="s">
        <v>66</v>
      </c>
      <c r="H26" s="114"/>
      <c r="I26" s="114"/>
      <c r="J26" s="114"/>
      <c r="K26" s="114"/>
      <c r="L26" s="114"/>
      <c r="M26" s="13">
        <v>1</v>
      </c>
      <c r="N26" s="13">
        <v>0.5</v>
      </c>
      <c r="O26" s="13">
        <v>0.74</v>
      </c>
      <c r="P26" s="13">
        <f t="shared" si="1"/>
        <v>0.7466666666666667</v>
      </c>
      <c r="Q26" s="14" t="s">
        <v>1</v>
      </c>
      <c r="R26" s="15"/>
      <c r="U26" s="9"/>
      <c r="V26" s="10"/>
      <c r="W26" s="9"/>
      <c r="X26" s="9"/>
      <c r="Y26" s="10"/>
      <c r="Z26" s="11"/>
      <c r="AA26" s="9"/>
    </row>
    <row r="27" spans="2:27" ht="24" customHeight="1">
      <c r="B27" s="82"/>
      <c r="C27" s="103"/>
      <c r="D27" s="104"/>
      <c r="E27" s="108" t="s">
        <v>31</v>
      </c>
      <c r="F27" s="108"/>
      <c r="G27" s="108" t="s">
        <v>67</v>
      </c>
      <c r="H27" s="108"/>
      <c r="I27" s="108"/>
      <c r="J27" s="108"/>
      <c r="K27" s="108"/>
      <c r="L27" s="108"/>
      <c r="M27" s="13">
        <v>1</v>
      </c>
      <c r="N27" s="13">
        <v>0.5</v>
      </c>
      <c r="O27" s="13">
        <v>0.7</v>
      </c>
      <c r="P27" s="13">
        <f t="shared" si="1"/>
        <v>0.73333333333333339</v>
      </c>
      <c r="Q27" s="14" t="s">
        <v>1</v>
      </c>
      <c r="R27" s="15"/>
      <c r="U27" s="9"/>
      <c r="V27" s="10"/>
      <c r="W27" s="9"/>
      <c r="X27" s="9"/>
      <c r="Y27" s="10"/>
      <c r="Z27" s="11"/>
      <c r="AA27" s="9"/>
    </row>
    <row r="28" spans="2:27" ht="24" customHeight="1">
      <c r="B28" s="82"/>
      <c r="C28" s="103"/>
      <c r="D28" s="104"/>
      <c r="E28" s="108" t="s">
        <v>69</v>
      </c>
      <c r="F28" s="108"/>
      <c r="G28" s="108" t="s">
        <v>68</v>
      </c>
      <c r="H28" s="108"/>
      <c r="I28" s="108"/>
      <c r="J28" s="108"/>
      <c r="K28" s="108"/>
      <c r="L28" s="108"/>
      <c r="M28" s="13">
        <v>5</v>
      </c>
      <c r="N28" s="13">
        <v>3</v>
      </c>
      <c r="O28" s="13">
        <v>4</v>
      </c>
      <c r="P28" s="13">
        <f t="shared" si="1"/>
        <v>4</v>
      </c>
      <c r="Q28" s="14" t="s">
        <v>1</v>
      </c>
      <c r="R28" s="15"/>
      <c r="U28" s="9"/>
      <c r="V28" s="10"/>
      <c r="W28" s="9"/>
      <c r="X28" s="9"/>
      <c r="Y28" s="10"/>
      <c r="Z28" s="11"/>
      <c r="AA28" s="9"/>
    </row>
    <row r="29" spans="2:27" ht="24" customHeight="1">
      <c r="B29" s="82"/>
      <c r="C29" s="105"/>
      <c r="D29" s="106"/>
      <c r="E29" s="84"/>
      <c r="F29" s="86"/>
      <c r="G29" s="84"/>
      <c r="H29" s="85"/>
      <c r="I29" s="85"/>
      <c r="J29" s="85"/>
      <c r="K29" s="85"/>
      <c r="L29" s="86"/>
      <c r="M29" s="24">
        <f>SUM(M23:M28)</f>
        <v>12</v>
      </c>
      <c r="N29" s="24">
        <f t="shared" ref="N29:P29" si="3">SUM(N23:N28)</f>
        <v>7</v>
      </c>
      <c r="O29" s="24">
        <f t="shared" si="3"/>
        <v>9.4400000000000013</v>
      </c>
      <c r="P29" s="24">
        <f t="shared" si="3"/>
        <v>9.48</v>
      </c>
      <c r="Q29" s="14"/>
      <c r="R29" s="15"/>
      <c r="U29" s="9"/>
      <c r="V29" s="10"/>
      <c r="W29" s="9"/>
      <c r="X29" s="9"/>
      <c r="Y29" s="10"/>
      <c r="Z29" s="11"/>
      <c r="AA29" s="9"/>
    </row>
    <row r="30" spans="2:27" ht="24" customHeight="1">
      <c r="B30" s="82"/>
      <c r="C30" s="87" t="s">
        <v>26</v>
      </c>
      <c r="D30" s="88"/>
      <c r="E30" s="108" t="s">
        <v>29</v>
      </c>
      <c r="F30" s="108"/>
      <c r="G30" s="109" t="s">
        <v>70</v>
      </c>
      <c r="H30" s="109"/>
      <c r="I30" s="109"/>
      <c r="J30" s="109"/>
      <c r="K30" s="109"/>
      <c r="L30" s="109"/>
      <c r="M30" s="13">
        <v>5.5</v>
      </c>
      <c r="N30" s="13">
        <v>3</v>
      </c>
      <c r="O30" s="13">
        <v>4</v>
      </c>
      <c r="P30" s="13">
        <f t="shared" si="1"/>
        <v>4.166666666666667</v>
      </c>
      <c r="Q30" s="14" t="s">
        <v>1</v>
      </c>
      <c r="R30" s="14"/>
      <c r="U30" s="9"/>
      <c r="V30" s="10"/>
      <c r="W30" s="9"/>
      <c r="X30" s="9"/>
      <c r="Y30" s="10"/>
      <c r="Z30" s="11"/>
      <c r="AA30" s="9"/>
    </row>
    <row r="31" spans="2:27" ht="24" customHeight="1">
      <c r="B31" s="82"/>
      <c r="C31" s="87"/>
      <c r="D31" s="88"/>
      <c r="E31" s="108" t="s">
        <v>27</v>
      </c>
      <c r="F31" s="108"/>
      <c r="G31" s="109" t="s">
        <v>71</v>
      </c>
      <c r="H31" s="109"/>
      <c r="I31" s="109"/>
      <c r="J31" s="109"/>
      <c r="K31" s="109"/>
      <c r="L31" s="109"/>
      <c r="M31" s="13">
        <v>1</v>
      </c>
      <c r="N31" s="13">
        <v>0.5</v>
      </c>
      <c r="O31" s="13"/>
      <c r="P31" s="13">
        <f t="shared" si="1"/>
        <v>0.75</v>
      </c>
      <c r="Q31" s="14" t="s">
        <v>1</v>
      </c>
      <c r="R31" s="14"/>
      <c r="U31" s="9"/>
      <c r="V31" s="10"/>
      <c r="W31" s="9"/>
      <c r="X31" s="9"/>
      <c r="Y31" s="10"/>
      <c r="Z31" s="11"/>
      <c r="AA31" s="9"/>
    </row>
    <row r="32" spans="2:27" ht="24" customHeight="1">
      <c r="B32" s="82"/>
      <c r="C32" s="87"/>
      <c r="D32" s="88"/>
      <c r="E32" s="108" t="s">
        <v>28</v>
      </c>
      <c r="F32" s="108"/>
      <c r="G32" s="109" t="s">
        <v>72</v>
      </c>
      <c r="H32" s="109"/>
      <c r="I32" s="109"/>
      <c r="J32" s="109"/>
      <c r="K32" s="109"/>
      <c r="L32" s="109"/>
      <c r="M32" s="13">
        <v>7</v>
      </c>
      <c r="N32" s="13">
        <v>4</v>
      </c>
      <c r="O32" s="13">
        <v>5.5</v>
      </c>
      <c r="P32" s="13">
        <f t="shared" si="1"/>
        <v>5.5</v>
      </c>
      <c r="Q32" s="14" t="s">
        <v>1</v>
      </c>
      <c r="R32" s="14"/>
      <c r="U32" s="9"/>
      <c r="V32" s="10"/>
      <c r="W32" s="9"/>
      <c r="X32" s="9"/>
      <c r="Y32" s="10"/>
      <c r="Z32" s="11"/>
      <c r="AA32" s="9"/>
    </row>
    <row r="33" spans="2:27" ht="24" customHeight="1">
      <c r="B33" s="82"/>
      <c r="C33" s="87"/>
      <c r="D33" s="88"/>
      <c r="E33" s="108" t="s">
        <v>74</v>
      </c>
      <c r="F33" s="108"/>
      <c r="G33" s="109" t="s">
        <v>73</v>
      </c>
      <c r="H33" s="109"/>
      <c r="I33" s="109"/>
      <c r="J33" s="109"/>
      <c r="K33" s="109"/>
      <c r="L33" s="109"/>
      <c r="M33" s="13">
        <v>7.5</v>
      </c>
      <c r="N33" s="13">
        <v>4.5</v>
      </c>
      <c r="O33" s="13">
        <v>5.5</v>
      </c>
      <c r="P33" s="13">
        <f t="shared" si="1"/>
        <v>5.833333333333333</v>
      </c>
      <c r="Q33" s="14" t="s">
        <v>1</v>
      </c>
      <c r="R33" s="14"/>
      <c r="U33" s="9"/>
      <c r="V33" s="10"/>
      <c r="W33" s="9"/>
      <c r="X33" s="9"/>
      <c r="Y33" s="10"/>
      <c r="Z33" s="11"/>
      <c r="AA33" s="9"/>
    </row>
    <row r="34" spans="2:27" ht="24" customHeight="1">
      <c r="B34" s="82"/>
      <c r="C34" s="87"/>
      <c r="D34" s="88"/>
      <c r="E34" s="108" t="s">
        <v>32</v>
      </c>
      <c r="F34" s="108"/>
      <c r="G34" s="109" t="s">
        <v>75</v>
      </c>
      <c r="H34" s="109"/>
      <c r="I34" s="109"/>
      <c r="J34" s="109"/>
      <c r="K34" s="109"/>
      <c r="L34" s="109"/>
      <c r="M34" s="13">
        <v>2</v>
      </c>
      <c r="N34" s="13">
        <v>0.7</v>
      </c>
      <c r="O34" s="13">
        <v>1</v>
      </c>
      <c r="P34" s="13">
        <f t="shared" si="1"/>
        <v>1.2333333333333334</v>
      </c>
      <c r="Q34" s="14" t="s">
        <v>1</v>
      </c>
      <c r="R34" s="14"/>
      <c r="U34" s="9"/>
      <c r="V34" s="10"/>
      <c r="W34" s="9"/>
      <c r="X34" s="9"/>
      <c r="Y34" s="10"/>
      <c r="Z34" s="11"/>
      <c r="AA34" s="9"/>
    </row>
    <row r="35" spans="2:27" ht="24" customHeight="1">
      <c r="B35" s="82"/>
      <c r="C35" s="87"/>
      <c r="D35" s="88"/>
      <c r="E35" s="84"/>
      <c r="F35" s="86"/>
      <c r="G35" s="84"/>
      <c r="H35" s="85"/>
      <c r="I35" s="85"/>
      <c r="J35" s="85"/>
      <c r="K35" s="85"/>
      <c r="L35" s="86"/>
      <c r="M35" s="24">
        <f>SUM(M30:M34)</f>
        <v>23</v>
      </c>
      <c r="N35" s="24">
        <f t="shared" ref="N35:P35" si="4">SUM(N30:N34)</f>
        <v>12.7</v>
      </c>
      <c r="O35" s="24">
        <f t="shared" si="4"/>
        <v>16</v>
      </c>
      <c r="P35" s="24">
        <f t="shared" si="4"/>
        <v>17.483333333333334</v>
      </c>
      <c r="Q35" s="14"/>
      <c r="R35" s="15"/>
      <c r="U35" s="9"/>
      <c r="V35" s="10"/>
      <c r="W35" s="9"/>
      <c r="X35" s="9"/>
      <c r="Y35" s="10"/>
      <c r="Z35" s="11"/>
      <c r="AA35" s="9"/>
    </row>
    <row r="36" spans="2:27" ht="24" customHeight="1">
      <c r="B36" s="83" t="s">
        <v>85</v>
      </c>
      <c r="C36" s="115" t="s">
        <v>114</v>
      </c>
      <c r="D36" s="115"/>
      <c r="E36" s="108" t="s">
        <v>47</v>
      </c>
      <c r="F36" s="108"/>
      <c r="G36" s="109" t="s">
        <v>76</v>
      </c>
      <c r="H36" s="109"/>
      <c r="I36" s="109"/>
      <c r="J36" s="109"/>
      <c r="K36" s="109"/>
      <c r="L36" s="109"/>
      <c r="M36" s="13">
        <v>12</v>
      </c>
      <c r="N36" s="13">
        <v>7</v>
      </c>
      <c r="O36" s="13">
        <v>10</v>
      </c>
      <c r="P36" s="13">
        <f t="shared" si="1"/>
        <v>9.6666666666666661</v>
      </c>
      <c r="Q36" s="14" t="s">
        <v>1</v>
      </c>
      <c r="R36" s="14"/>
      <c r="U36" s="9"/>
      <c r="V36" s="10"/>
      <c r="W36" s="9"/>
      <c r="X36" s="9"/>
      <c r="Y36" s="10"/>
      <c r="Z36" s="11"/>
      <c r="AA36" s="9"/>
    </row>
    <row r="37" spans="2:27" ht="24" customHeight="1">
      <c r="B37" s="83"/>
      <c r="C37" s="101" t="s">
        <v>113</v>
      </c>
      <c r="D37" s="102"/>
      <c r="E37" s="108" t="s">
        <v>48</v>
      </c>
      <c r="F37" s="108"/>
      <c r="G37" s="109" t="s">
        <v>77</v>
      </c>
      <c r="H37" s="109"/>
      <c r="I37" s="109"/>
      <c r="J37" s="109"/>
      <c r="K37" s="109"/>
      <c r="L37" s="109"/>
      <c r="M37" s="13">
        <v>10</v>
      </c>
      <c r="N37" s="13">
        <v>8</v>
      </c>
      <c r="O37" s="13">
        <v>9</v>
      </c>
      <c r="P37" s="13">
        <f t="shared" si="1"/>
        <v>9</v>
      </c>
      <c r="Q37" s="14" t="s">
        <v>1</v>
      </c>
      <c r="R37" s="16" t="s">
        <v>42</v>
      </c>
      <c r="U37" s="9"/>
      <c r="V37" s="11"/>
      <c r="W37" s="9"/>
      <c r="X37" s="9"/>
      <c r="Y37" s="10"/>
      <c r="Z37" s="11"/>
      <c r="AA37" s="9"/>
    </row>
    <row r="38" spans="2:27" ht="24" customHeight="1">
      <c r="B38" s="83"/>
      <c r="C38" s="103"/>
      <c r="D38" s="104"/>
      <c r="E38" s="108" t="s">
        <v>49</v>
      </c>
      <c r="F38" s="108"/>
      <c r="G38" s="109" t="s">
        <v>78</v>
      </c>
      <c r="H38" s="109"/>
      <c r="I38" s="109"/>
      <c r="J38" s="109"/>
      <c r="K38" s="109"/>
      <c r="L38" s="109"/>
      <c r="M38" s="13">
        <v>4</v>
      </c>
      <c r="N38" s="13">
        <v>2</v>
      </c>
      <c r="O38" s="13">
        <v>3</v>
      </c>
      <c r="P38" s="13">
        <f t="shared" si="1"/>
        <v>3</v>
      </c>
      <c r="Q38" s="14" t="s">
        <v>1</v>
      </c>
      <c r="R38" s="17" t="s">
        <v>42</v>
      </c>
      <c r="U38" s="9"/>
      <c r="V38" s="11"/>
      <c r="W38" s="9"/>
      <c r="X38" s="9"/>
      <c r="Y38" s="10"/>
      <c r="Z38" s="11"/>
      <c r="AA38" s="9"/>
    </row>
    <row r="39" spans="2:27" ht="24" customHeight="1">
      <c r="B39" s="83"/>
      <c r="C39" s="105"/>
      <c r="D39" s="106"/>
      <c r="E39" s="84"/>
      <c r="F39" s="86"/>
      <c r="G39" s="84"/>
      <c r="H39" s="85"/>
      <c r="I39" s="85"/>
      <c r="J39" s="85"/>
      <c r="K39" s="85"/>
      <c r="L39" s="86"/>
      <c r="M39" s="24">
        <f>SUM(M36:M38)</f>
        <v>26</v>
      </c>
      <c r="N39" s="24">
        <f t="shared" ref="N39:P39" si="5">SUM(N36:N38)</f>
        <v>17</v>
      </c>
      <c r="O39" s="24">
        <f t="shared" si="5"/>
        <v>22</v>
      </c>
      <c r="P39" s="24">
        <f t="shared" si="5"/>
        <v>21.666666666666664</v>
      </c>
      <c r="Q39" s="14"/>
      <c r="R39" s="15"/>
      <c r="U39" s="9"/>
      <c r="V39" s="10"/>
      <c r="W39" s="9"/>
      <c r="X39" s="9"/>
      <c r="Y39" s="10"/>
      <c r="Z39" s="11"/>
      <c r="AA39" s="9"/>
    </row>
    <row r="40" spans="2:27" ht="24" customHeight="1">
      <c r="B40" s="21"/>
      <c r="C40" s="92" t="s">
        <v>112</v>
      </c>
      <c r="D40" s="93"/>
      <c r="E40" s="114" t="s">
        <v>34</v>
      </c>
      <c r="F40" s="114"/>
      <c r="G40" s="109" t="s">
        <v>39</v>
      </c>
      <c r="H40" s="109"/>
      <c r="I40" s="109"/>
      <c r="J40" s="109"/>
      <c r="K40" s="109"/>
      <c r="L40" s="109"/>
      <c r="M40" s="13">
        <v>5</v>
      </c>
      <c r="N40" s="13">
        <v>3</v>
      </c>
      <c r="O40" s="13">
        <v>4</v>
      </c>
      <c r="P40" s="13">
        <f t="shared" si="1"/>
        <v>4</v>
      </c>
      <c r="Q40" s="14" t="s">
        <v>1</v>
      </c>
      <c r="R40" s="14"/>
      <c r="U40" s="9"/>
      <c r="V40" s="11"/>
      <c r="W40" s="9"/>
      <c r="X40" s="9"/>
      <c r="Y40" s="9"/>
      <c r="Z40" s="9"/>
      <c r="AA40" s="9"/>
    </row>
    <row r="41" spans="2:27" ht="24" customHeight="1">
      <c r="B41" s="21"/>
      <c r="C41" s="94"/>
      <c r="D41" s="95"/>
      <c r="E41" s="114" t="s">
        <v>35</v>
      </c>
      <c r="F41" s="114"/>
      <c r="G41" s="109" t="s">
        <v>38</v>
      </c>
      <c r="H41" s="109"/>
      <c r="I41" s="109"/>
      <c r="J41" s="109"/>
      <c r="K41" s="109"/>
      <c r="L41" s="109"/>
      <c r="M41" s="13">
        <v>3</v>
      </c>
      <c r="N41" s="13">
        <v>1</v>
      </c>
      <c r="O41" s="13">
        <v>2</v>
      </c>
      <c r="P41" s="13">
        <f t="shared" si="1"/>
        <v>2</v>
      </c>
      <c r="Q41" s="14" t="s">
        <v>1</v>
      </c>
      <c r="R41" s="14"/>
      <c r="U41" s="9"/>
      <c r="V41" s="11"/>
      <c r="W41" s="9"/>
      <c r="X41" s="9"/>
      <c r="Y41" s="9"/>
      <c r="Z41" s="9"/>
      <c r="AA41" s="9"/>
    </row>
    <row r="42" spans="2:27" ht="24" customHeight="1">
      <c r="B42" s="21"/>
      <c r="C42" s="94"/>
      <c r="D42" s="95"/>
      <c r="E42" s="114" t="s">
        <v>36</v>
      </c>
      <c r="F42" s="114"/>
      <c r="G42" s="109" t="s">
        <v>37</v>
      </c>
      <c r="H42" s="109"/>
      <c r="I42" s="109"/>
      <c r="J42" s="109"/>
      <c r="K42" s="109"/>
      <c r="L42" s="109"/>
      <c r="M42" s="13">
        <v>7</v>
      </c>
      <c r="N42" s="13">
        <v>4</v>
      </c>
      <c r="O42" s="13">
        <v>5</v>
      </c>
      <c r="P42" s="13">
        <f t="shared" si="1"/>
        <v>5.333333333333333</v>
      </c>
      <c r="Q42" s="14" t="s">
        <v>1</v>
      </c>
      <c r="R42" s="16" t="s">
        <v>42</v>
      </c>
      <c r="U42" s="9"/>
      <c r="V42" s="11"/>
      <c r="W42" s="9"/>
      <c r="X42" s="9"/>
      <c r="Y42" s="9"/>
      <c r="Z42" s="9"/>
      <c r="AA42" s="9"/>
    </row>
    <row r="43" spans="2:27" ht="24" customHeight="1">
      <c r="B43" s="21"/>
      <c r="C43" s="94"/>
      <c r="D43" s="95"/>
      <c r="E43" s="108" t="s">
        <v>40</v>
      </c>
      <c r="F43" s="108"/>
      <c r="G43" s="109" t="s">
        <v>41</v>
      </c>
      <c r="H43" s="109"/>
      <c r="I43" s="109"/>
      <c r="J43" s="109"/>
      <c r="K43" s="109"/>
      <c r="L43" s="109"/>
      <c r="M43" s="13">
        <v>9</v>
      </c>
      <c r="N43" s="13">
        <v>5</v>
      </c>
      <c r="O43" s="13">
        <v>7.5</v>
      </c>
      <c r="P43" s="13">
        <f t="shared" si="1"/>
        <v>7.166666666666667</v>
      </c>
      <c r="Q43" s="14" t="s">
        <v>1</v>
      </c>
      <c r="R43" s="14"/>
      <c r="U43" s="9"/>
      <c r="V43" s="11"/>
      <c r="W43" s="9"/>
      <c r="X43" s="9"/>
      <c r="Y43" s="9"/>
      <c r="Z43" s="9"/>
      <c r="AA43" s="9"/>
    </row>
    <row r="44" spans="2:27" ht="24" customHeight="1">
      <c r="B44" s="21"/>
      <c r="C44" s="96"/>
      <c r="D44" s="97"/>
      <c r="E44" s="89"/>
      <c r="F44" s="90"/>
      <c r="G44" s="89"/>
      <c r="H44" s="91"/>
      <c r="I44" s="91"/>
      <c r="J44" s="91"/>
      <c r="K44" s="91"/>
      <c r="L44" s="90"/>
      <c r="M44" s="25">
        <f>SUM(M40:M43)</f>
        <v>24</v>
      </c>
      <c r="N44" s="25">
        <f t="shared" ref="N44:P44" si="6">SUM(N40:N43)</f>
        <v>13</v>
      </c>
      <c r="O44" s="25">
        <f t="shared" si="6"/>
        <v>18.5</v>
      </c>
      <c r="P44" s="25">
        <f t="shared" si="6"/>
        <v>18.5</v>
      </c>
      <c r="Q44" s="14"/>
      <c r="R44" s="15"/>
      <c r="U44" s="9"/>
      <c r="V44" s="10"/>
      <c r="W44" s="9"/>
      <c r="X44" s="9"/>
      <c r="Y44" s="10"/>
      <c r="Z44" s="11"/>
      <c r="AA44" s="9"/>
    </row>
    <row r="45" spans="2:27" ht="24" customHeight="1">
      <c r="B45" s="21"/>
      <c r="C45" s="110" t="s">
        <v>79</v>
      </c>
      <c r="D45" s="111"/>
      <c r="E45" s="108" t="s">
        <v>44</v>
      </c>
      <c r="F45" s="108"/>
      <c r="G45" s="109" t="s">
        <v>43</v>
      </c>
      <c r="H45" s="109"/>
      <c r="I45" s="109"/>
      <c r="J45" s="109"/>
      <c r="K45" s="109"/>
      <c r="L45" s="109"/>
      <c r="M45" s="13">
        <v>10</v>
      </c>
      <c r="N45" s="13">
        <v>8</v>
      </c>
      <c r="O45" s="13">
        <v>9</v>
      </c>
      <c r="P45" s="13">
        <f t="shared" si="1"/>
        <v>9</v>
      </c>
      <c r="Q45" s="14" t="s">
        <v>1</v>
      </c>
      <c r="R45" s="16" t="s">
        <v>42</v>
      </c>
      <c r="U45" s="9"/>
      <c r="V45" s="11"/>
      <c r="W45" s="9"/>
      <c r="X45" s="9"/>
      <c r="Y45" s="9"/>
      <c r="Z45" s="9"/>
      <c r="AA45" s="9"/>
    </row>
    <row r="46" spans="2:27" ht="24" customHeight="1">
      <c r="B46" s="21"/>
      <c r="C46" s="112"/>
      <c r="D46" s="113"/>
      <c r="E46" s="108" t="s">
        <v>45</v>
      </c>
      <c r="F46" s="108"/>
      <c r="G46" s="109" t="s">
        <v>50</v>
      </c>
      <c r="H46" s="109"/>
      <c r="I46" s="109"/>
      <c r="J46" s="109"/>
      <c r="K46" s="109"/>
      <c r="L46" s="109"/>
      <c r="M46" s="13">
        <v>14</v>
      </c>
      <c r="N46" s="13">
        <v>9</v>
      </c>
      <c r="O46" s="13">
        <v>12</v>
      </c>
      <c r="P46" s="13">
        <f t="shared" si="1"/>
        <v>11.666666666666666</v>
      </c>
      <c r="Q46" s="14" t="s">
        <v>1</v>
      </c>
      <c r="R46" s="16" t="s">
        <v>42</v>
      </c>
      <c r="U46" s="9"/>
      <c r="V46" s="11"/>
      <c r="W46" s="9"/>
      <c r="X46" s="9"/>
      <c r="Y46" s="9"/>
      <c r="Z46" s="9"/>
      <c r="AA46" s="9"/>
    </row>
    <row r="47" spans="2:27" ht="24" customHeight="1">
      <c r="B47" s="20"/>
      <c r="C47" s="112"/>
      <c r="D47" s="113"/>
      <c r="E47" s="98"/>
      <c r="F47" s="99"/>
      <c r="G47" s="98"/>
      <c r="H47" s="100"/>
      <c r="I47" s="100"/>
      <c r="J47" s="100"/>
      <c r="K47" s="100"/>
      <c r="L47" s="99"/>
      <c r="M47" s="26">
        <f>SUM(M45:M46)</f>
        <v>24</v>
      </c>
      <c r="N47" s="26">
        <f t="shared" ref="N47:P47" si="7">SUM(N45:N46)</f>
        <v>17</v>
      </c>
      <c r="O47" s="26">
        <f t="shared" si="7"/>
        <v>21</v>
      </c>
      <c r="P47" s="26">
        <f t="shared" si="7"/>
        <v>20.666666666666664</v>
      </c>
      <c r="Q47" s="14"/>
      <c r="R47" s="15"/>
      <c r="U47" s="9"/>
      <c r="V47" s="10"/>
      <c r="W47" s="9"/>
      <c r="X47" s="9"/>
      <c r="Y47" s="10"/>
      <c r="Z47" s="11"/>
      <c r="AA47" s="9"/>
    </row>
    <row r="48" spans="2:27" ht="26.25" customHeight="1">
      <c r="L48" s="18"/>
      <c r="M48" s="12"/>
      <c r="N48" s="12"/>
      <c r="O48" s="12"/>
      <c r="P48" s="12"/>
      <c r="U48" s="9"/>
      <c r="V48" s="9"/>
      <c r="W48" s="9"/>
      <c r="X48" s="9"/>
      <c r="Y48" s="9"/>
      <c r="Z48" s="9"/>
      <c r="AA48" s="9"/>
    </row>
    <row r="49" spans="7:16">
      <c r="M49" s="19"/>
      <c r="N49" s="19"/>
      <c r="O49" s="19"/>
      <c r="P49" s="19"/>
    </row>
    <row r="54" spans="7:16">
      <c r="G54" s="12"/>
    </row>
  </sheetData>
  <mergeCells count="103">
    <mergeCell ref="B8:B9"/>
    <mergeCell ref="C8:D9"/>
    <mergeCell ref="E8:F9"/>
    <mergeCell ref="G8:L9"/>
    <mergeCell ref="Q8:Q9"/>
    <mergeCell ref="R8:R9"/>
    <mergeCell ref="D2:F2"/>
    <mergeCell ref="C10:D21"/>
    <mergeCell ref="E10:F10"/>
    <mergeCell ref="G10:L10"/>
    <mergeCell ref="E11:F11"/>
    <mergeCell ref="G11:L11"/>
    <mergeCell ref="E12:F12"/>
    <mergeCell ref="G12:L12"/>
    <mergeCell ref="E13:F13"/>
    <mergeCell ref="G13:L13"/>
    <mergeCell ref="E17:F17"/>
    <mergeCell ref="G17:L17"/>
    <mergeCell ref="E18:F18"/>
    <mergeCell ref="G18:L18"/>
    <mergeCell ref="E19:F19"/>
    <mergeCell ref="G19:L19"/>
    <mergeCell ref="E14:F14"/>
    <mergeCell ref="G14:L14"/>
    <mergeCell ref="E15:F15"/>
    <mergeCell ref="G15:L15"/>
    <mergeCell ref="E16:F16"/>
    <mergeCell ref="G16:L16"/>
    <mergeCell ref="G25:L25"/>
    <mergeCell ref="E26:F26"/>
    <mergeCell ref="G26:L26"/>
    <mergeCell ref="E27:F27"/>
    <mergeCell ref="G27:L27"/>
    <mergeCell ref="E28:F28"/>
    <mergeCell ref="G28:L28"/>
    <mergeCell ref="E20:F20"/>
    <mergeCell ref="G20:L20"/>
    <mergeCell ref="E21:F21"/>
    <mergeCell ref="G21:L21"/>
    <mergeCell ref="E23:F23"/>
    <mergeCell ref="G23:L23"/>
    <mergeCell ref="E24:F24"/>
    <mergeCell ref="G24:L24"/>
    <mergeCell ref="E25:F25"/>
    <mergeCell ref="E30:F30"/>
    <mergeCell ref="G30:L30"/>
    <mergeCell ref="E31:F31"/>
    <mergeCell ref="G31:L31"/>
    <mergeCell ref="E32:F32"/>
    <mergeCell ref="G32:L32"/>
    <mergeCell ref="E33:F33"/>
    <mergeCell ref="G33:L33"/>
    <mergeCell ref="E34:F34"/>
    <mergeCell ref="E41:F41"/>
    <mergeCell ref="G41:L41"/>
    <mergeCell ref="E42:F42"/>
    <mergeCell ref="G42:L42"/>
    <mergeCell ref="E43:F43"/>
    <mergeCell ref="G43:L43"/>
    <mergeCell ref="G34:L34"/>
    <mergeCell ref="C36:D36"/>
    <mergeCell ref="E36:F36"/>
    <mergeCell ref="G36:L36"/>
    <mergeCell ref="E37:F37"/>
    <mergeCell ref="G37:L37"/>
    <mergeCell ref="E38:F38"/>
    <mergeCell ref="G38:L38"/>
    <mergeCell ref="E35:F35"/>
    <mergeCell ref="B10:B35"/>
    <mergeCell ref="B36:B39"/>
    <mergeCell ref="G35:L35"/>
    <mergeCell ref="C30:D35"/>
    <mergeCell ref="E44:F44"/>
    <mergeCell ref="G44:L44"/>
    <mergeCell ref="C40:D44"/>
    <mergeCell ref="E47:F47"/>
    <mergeCell ref="G47:L47"/>
    <mergeCell ref="E39:F39"/>
    <mergeCell ref="G39:L39"/>
    <mergeCell ref="C37:D39"/>
    <mergeCell ref="E22:F22"/>
    <mergeCell ref="G22:L22"/>
    <mergeCell ref="C23:D29"/>
    <mergeCell ref="E29:F29"/>
    <mergeCell ref="G29:L29"/>
    <mergeCell ref="E45:F45"/>
    <mergeCell ref="G45:L45"/>
    <mergeCell ref="E46:F46"/>
    <mergeCell ref="G46:L46"/>
    <mergeCell ref="C45:D47"/>
    <mergeCell ref="E40:F40"/>
    <mergeCell ref="G40:L40"/>
    <mergeCell ref="P5:R5"/>
    <mergeCell ref="P6:R6"/>
    <mergeCell ref="E3:F3"/>
    <mergeCell ref="N2:O2"/>
    <mergeCell ref="N3:O3"/>
    <mergeCell ref="N4:O4"/>
    <mergeCell ref="N5:O5"/>
    <mergeCell ref="N6:O6"/>
    <mergeCell ref="P2:R2"/>
    <mergeCell ref="P3:R3"/>
    <mergeCell ref="P4:R4"/>
  </mergeCells>
  <phoneticPr fontId="1" type="noConversion"/>
  <conditionalFormatting sqref="V27 V30:V34 Y19:Y21 Y23:Y34 Y36:Y38 V36 Z6:Z7">
    <cfRule type="cellIs" dxfId="45" priority="56" stopIfTrue="1" operator="greaterThan">
      <formula>0</formula>
    </cfRule>
  </conditionalFormatting>
  <conditionalFormatting sqref="V26">
    <cfRule type="cellIs" dxfId="44" priority="57" stopIfTrue="1" operator="greaterThan">
      <formula>0</formula>
    </cfRule>
  </conditionalFormatting>
  <conditionalFormatting sqref="V25">
    <cfRule type="cellIs" dxfId="43" priority="58" stopIfTrue="1" operator="greaterThan">
      <formula>0</formula>
    </cfRule>
  </conditionalFormatting>
  <conditionalFormatting sqref="V30">
    <cfRule type="cellIs" dxfId="42" priority="59" stopIfTrue="1" operator="greaterThan">
      <formula>0</formula>
    </cfRule>
  </conditionalFormatting>
  <conditionalFormatting sqref="V31:V34">
    <cfRule type="cellIs" dxfId="41" priority="60" stopIfTrue="1" operator="greaterThan">
      <formula>0</formula>
    </cfRule>
  </conditionalFormatting>
  <conditionalFormatting sqref="V31:V34">
    <cfRule type="cellIs" dxfId="40" priority="61" stopIfTrue="1" operator="greaterThan">
      <formula>0</formula>
    </cfRule>
  </conditionalFormatting>
  <conditionalFormatting sqref="V27">
    <cfRule type="cellIs" dxfId="39" priority="62" stopIfTrue="1" operator="greaterThan">
      <formula>0</formula>
    </cfRule>
  </conditionalFormatting>
  <conditionalFormatting sqref="V31:V34">
    <cfRule type="cellIs" dxfId="38" priority="63" stopIfTrue="1" operator="greaterThan">
      <formula>0</formula>
    </cfRule>
  </conditionalFormatting>
  <conditionalFormatting sqref="V28:V29">
    <cfRule type="cellIs" dxfId="37" priority="55" stopIfTrue="1" operator="greaterThan">
      <formula>0</formula>
    </cfRule>
  </conditionalFormatting>
  <conditionalFormatting sqref="Z12 Z21 Z23:Z25">
    <cfRule type="cellIs" dxfId="36" priority="39" stopIfTrue="1" operator="greaterThan">
      <formula>0</formula>
    </cfRule>
  </conditionalFormatting>
  <conditionalFormatting sqref="Y1">
    <cfRule type="cellIs" dxfId="35" priority="18" stopIfTrue="1" operator="greaterThan">
      <formula>0</formula>
    </cfRule>
  </conditionalFormatting>
  <conditionalFormatting sqref="Y12:Y18">
    <cfRule type="cellIs" dxfId="34" priority="42" stopIfTrue="1" operator="greaterThan">
      <formula>0</formula>
    </cfRule>
  </conditionalFormatting>
  <conditionalFormatting sqref="Y19:Y20">
    <cfRule type="cellIs" dxfId="33" priority="43" stopIfTrue="1" operator="greaterThan">
      <formula>0</formula>
    </cfRule>
  </conditionalFormatting>
  <conditionalFormatting sqref="Y21">
    <cfRule type="cellIs" dxfId="32" priority="44" stopIfTrue="1" operator="greaterThan">
      <formula>0</formula>
    </cfRule>
  </conditionalFormatting>
  <conditionalFormatting sqref="Y21">
    <cfRule type="cellIs" dxfId="31" priority="45" stopIfTrue="1" operator="greaterThan">
      <formula>0</formula>
    </cfRule>
  </conditionalFormatting>
  <conditionalFormatting sqref="Y23:Y24">
    <cfRule type="cellIs" dxfId="30" priority="46" stopIfTrue="1" operator="greaterThan">
      <formula>0</formula>
    </cfRule>
  </conditionalFormatting>
  <conditionalFormatting sqref="Z18:Z20">
    <cfRule type="cellIs" dxfId="29" priority="47" stopIfTrue="1" operator="greaterThan">
      <formula>0</formula>
    </cfRule>
  </conditionalFormatting>
  <conditionalFormatting sqref="Z11">
    <cfRule type="cellIs" dxfId="28" priority="48" stopIfTrue="1" operator="greaterThan">
      <formula>0</formula>
    </cfRule>
  </conditionalFormatting>
  <conditionalFormatting sqref="Z10">
    <cfRule type="cellIs" dxfId="27" priority="49" stopIfTrue="1" operator="greaterThan">
      <formula>0</formula>
    </cfRule>
  </conditionalFormatting>
  <conditionalFormatting sqref="Z21">
    <cfRule type="cellIs" dxfId="26" priority="50" stopIfTrue="1" operator="greaterThan">
      <formula>0</formula>
    </cfRule>
  </conditionalFormatting>
  <conditionalFormatting sqref="Z23:Z24">
    <cfRule type="cellIs" dxfId="25" priority="51" stopIfTrue="1" operator="greaterThan">
      <formula>0</formula>
    </cfRule>
  </conditionalFormatting>
  <conditionalFormatting sqref="Z23:Z24">
    <cfRule type="cellIs" dxfId="24" priority="52" stopIfTrue="1" operator="greaterThan">
      <formula>0</formula>
    </cfRule>
  </conditionalFormatting>
  <conditionalFormatting sqref="Z12">
    <cfRule type="cellIs" dxfId="23" priority="53" stopIfTrue="1" operator="greaterThan">
      <formula>0</formula>
    </cfRule>
  </conditionalFormatting>
  <conditionalFormatting sqref="Z23:Z24">
    <cfRule type="cellIs" dxfId="22" priority="54" stopIfTrue="1" operator="greaterThan">
      <formula>0</formula>
    </cfRule>
  </conditionalFormatting>
  <conditionalFormatting sqref="Z14:Z17">
    <cfRule type="cellIs" dxfId="21" priority="38" stopIfTrue="1" operator="greaterThan">
      <formula>0</formula>
    </cfRule>
  </conditionalFormatting>
  <conditionalFormatting sqref="Z13">
    <cfRule type="cellIs" dxfId="20" priority="37" stopIfTrue="1" operator="greaterThan">
      <formula>0</formula>
    </cfRule>
  </conditionalFormatting>
  <conditionalFormatting sqref="Y22">
    <cfRule type="cellIs" dxfId="19" priority="36" stopIfTrue="1" operator="greaterThan">
      <formula>0</formula>
    </cfRule>
  </conditionalFormatting>
  <conditionalFormatting sqref="Z22">
    <cfRule type="cellIs" dxfId="18" priority="32" stopIfTrue="1" operator="greaterThan">
      <formula>0</formula>
    </cfRule>
  </conditionalFormatting>
  <conditionalFormatting sqref="Y22">
    <cfRule type="cellIs" dxfId="17" priority="33" stopIfTrue="1" operator="greaterThan">
      <formula>0</formula>
    </cfRule>
  </conditionalFormatting>
  <conditionalFormatting sqref="Y22">
    <cfRule type="cellIs" dxfId="16" priority="34" stopIfTrue="1" operator="greaterThan">
      <formula>0</formula>
    </cfRule>
  </conditionalFormatting>
  <conditionalFormatting sqref="Z22">
    <cfRule type="cellIs" dxfId="15" priority="35" stopIfTrue="1" operator="greaterThan">
      <formula>0</formula>
    </cfRule>
  </conditionalFormatting>
  <conditionalFormatting sqref="Y35">
    <cfRule type="cellIs" dxfId="14" priority="31" stopIfTrue="1" operator="greaterThan">
      <formula>0</formula>
    </cfRule>
  </conditionalFormatting>
  <conditionalFormatting sqref="V35">
    <cfRule type="cellIs" dxfId="13" priority="30" stopIfTrue="1" operator="greaterThan">
      <formula>0</formula>
    </cfRule>
  </conditionalFormatting>
  <conditionalFormatting sqref="Y44">
    <cfRule type="cellIs" dxfId="12" priority="29" stopIfTrue="1" operator="greaterThan">
      <formula>0</formula>
    </cfRule>
  </conditionalFormatting>
  <conditionalFormatting sqref="V44">
    <cfRule type="cellIs" dxfId="11" priority="28" stopIfTrue="1" operator="greaterThan">
      <formula>0</formula>
    </cfRule>
  </conditionalFormatting>
  <conditionalFormatting sqref="Y47">
    <cfRule type="cellIs" dxfId="10" priority="27" stopIfTrue="1" operator="greaterThan">
      <formula>0</formula>
    </cfRule>
  </conditionalFormatting>
  <conditionalFormatting sqref="V47">
    <cfRule type="cellIs" dxfId="9" priority="26" stopIfTrue="1" operator="greaterThan">
      <formula>0</formula>
    </cfRule>
  </conditionalFormatting>
  <conditionalFormatting sqref="Y39">
    <cfRule type="cellIs" dxfId="8" priority="25" stopIfTrue="1" operator="greaterThan">
      <formula>0</formula>
    </cfRule>
  </conditionalFormatting>
  <conditionalFormatting sqref="V39">
    <cfRule type="cellIs" dxfId="7" priority="24" stopIfTrue="1" operator="greaterThan">
      <formula>0</formula>
    </cfRule>
  </conditionalFormatting>
  <conditionalFormatting sqref="Z2:Z5">
    <cfRule type="cellIs" dxfId="6" priority="6" stopIfTrue="1" operator="greaterThan">
      <formula>0</formula>
    </cfRule>
  </conditionalFormatting>
  <conditionalFormatting sqref="Z1">
    <cfRule type="cellIs" dxfId="5" priority="21" stopIfTrue="1" operator="greaterThan">
      <formula>0</formula>
    </cfRule>
  </conditionalFormatting>
  <conditionalFormatting sqref="Y2:Y11">
    <cfRule type="cellIs" dxfId="4" priority="8" stopIfTrue="1" operator="greaterThan">
      <formula>0</formula>
    </cfRule>
  </conditionalFormatting>
  <conditionalFormatting sqref="Z9">
    <cfRule type="cellIs" dxfId="3" priority="1" stopIfTrue="1" operator="greaterThan">
      <formula>0</formula>
    </cfRule>
  </conditionalFormatting>
  <conditionalFormatting sqref="Z8">
    <cfRule type="cellIs" dxfId="2" priority="7" stopIfTrue="1" operator="greaterThan">
      <formula>0</formula>
    </cfRule>
  </conditionalFormatting>
  <conditionalFormatting sqref="Z8">
    <cfRule type="cellIs" dxfId="1" priority="13" stopIfTrue="1" operator="greaterThan">
      <formula>0</formula>
    </cfRule>
  </conditionalFormatting>
  <conditionalFormatting sqref="Z9">
    <cfRule type="cellIs" dxfId="0" priority="4" stopIfTrue="1" operator="greaterThan">
      <formula>0</formula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8" scale="95" fitToWidth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D10" sqref="D10"/>
    </sheetView>
  </sheetViews>
  <sheetFormatPr defaultColWidth="12.6640625" defaultRowHeight="15" customHeight="1"/>
  <cols>
    <col min="1" max="1" width="4.44140625" style="38" customWidth="1"/>
    <col min="2" max="2" width="3.44140625" style="38" customWidth="1"/>
    <col min="3" max="3" width="8.21875" style="38" customWidth="1"/>
    <col min="4" max="4" width="35.33203125" style="38" customWidth="1"/>
    <col min="5" max="5" width="8" style="38" customWidth="1"/>
    <col min="6" max="6" width="6.88671875" style="38" customWidth="1"/>
    <col min="7" max="7" width="4.6640625" style="38" customWidth="1"/>
    <col min="8" max="26" width="7.77734375" style="38" customWidth="1"/>
    <col min="27" max="16384" width="12.6640625" style="38"/>
  </cols>
  <sheetData>
    <row r="1" spans="1:26" ht="16.5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6.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6.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6.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6.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7.25" thickBot="1">
      <c r="A6" s="37"/>
      <c r="B6" s="39" t="s">
        <v>96</v>
      </c>
      <c r="C6" s="39" t="s">
        <v>102</v>
      </c>
      <c r="D6" s="39" t="s">
        <v>103</v>
      </c>
      <c r="E6" s="39" t="s">
        <v>104</v>
      </c>
      <c r="F6" s="39" t="s">
        <v>105</v>
      </c>
      <c r="G6" s="39" t="s">
        <v>106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21.75" customHeight="1" thickTop="1">
      <c r="A7" s="40"/>
      <c r="B7" s="41">
        <v>0.1</v>
      </c>
      <c r="C7" s="42">
        <v>43220</v>
      </c>
      <c r="D7" s="43" t="s">
        <v>110</v>
      </c>
      <c r="E7" s="44"/>
      <c r="F7" s="45" t="s">
        <v>108</v>
      </c>
      <c r="G7" s="45" t="s">
        <v>107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21.75" customHeight="1" thickBot="1">
      <c r="A8" s="46"/>
      <c r="B8" s="47">
        <v>0.2</v>
      </c>
      <c r="C8" s="48">
        <v>43220</v>
      </c>
      <c r="D8" s="49" t="s">
        <v>111</v>
      </c>
      <c r="E8" s="50"/>
      <c r="F8" s="51" t="s">
        <v>109</v>
      </c>
      <c r="G8" s="51" t="s">
        <v>107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21.75" customHeight="1" thickBot="1">
      <c r="A9" s="37"/>
      <c r="B9" s="47">
        <v>1</v>
      </c>
      <c r="C9" s="48">
        <v>43228</v>
      </c>
      <c r="D9" s="49" t="s">
        <v>115</v>
      </c>
      <c r="E9" s="50"/>
      <c r="F9" s="51" t="s">
        <v>109</v>
      </c>
      <c r="G9" s="51" t="s">
        <v>107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21.75" customHeight="1" thickBot="1">
      <c r="A10" s="37"/>
      <c r="B10" s="52"/>
      <c r="C10" s="48"/>
      <c r="D10" s="53"/>
      <c r="E10" s="54"/>
      <c r="F10" s="55"/>
      <c r="G10" s="5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21.75" customHeight="1" thickBot="1">
      <c r="A11" s="37"/>
      <c r="B11" s="52"/>
      <c r="C11" s="54"/>
      <c r="D11" s="53"/>
      <c r="E11" s="54"/>
      <c r="F11" s="55"/>
      <c r="G11" s="55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21.75" customHeight="1" thickBot="1">
      <c r="A12" s="37"/>
      <c r="B12" s="52"/>
      <c r="C12" s="54"/>
      <c r="D12" s="53"/>
      <c r="E12" s="54"/>
      <c r="F12" s="55"/>
      <c r="G12" s="55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21.75" customHeight="1" thickBot="1">
      <c r="A13" s="37"/>
      <c r="B13" s="52"/>
      <c r="C13" s="54"/>
      <c r="D13" s="53"/>
      <c r="E13" s="54"/>
      <c r="F13" s="55"/>
      <c r="G13" s="55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21.75" customHeight="1" thickBot="1">
      <c r="A14" s="37"/>
      <c r="B14" s="52"/>
      <c r="C14" s="54"/>
      <c r="D14" s="53"/>
      <c r="E14" s="54"/>
      <c r="F14" s="55"/>
      <c r="G14" s="55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21.75" customHeight="1" thickBot="1">
      <c r="A15" s="37"/>
      <c r="B15" s="52"/>
      <c r="C15" s="54"/>
      <c r="D15" s="53"/>
      <c r="E15" s="54"/>
      <c r="F15" s="55"/>
      <c r="G15" s="55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21.75" customHeight="1" thickBot="1">
      <c r="A16" s="37"/>
      <c r="B16" s="52"/>
      <c r="C16" s="54"/>
      <c r="D16" s="53"/>
      <c r="E16" s="54"/>
      <c r="F16" s="55"/>
      <c r="G16" s="55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21.75" customHeight="1" thickBot="1">
      <c r="A17" s="37"/>
      <c r="B17" s="52"/>
      <c r="C17" s="54"/>
      <c r="D17" s="53"/>
      <c r="E17" s="54"/>
      <c r="F17" s="55"/>
      <c r="G17" s="55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21.75" customHeight="1" thickBot="1">
      <c r="A18" s="37"/>
      <c r="B18" s="52"/>
      <c r="C18" s="54"/>
      <c r="D18" s="53"/>
      <c r="E18" s="54"/>
      <c r="F18" s="55"/>
      <c r="G18" s="55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21.75" customHeight="1" thickBot="1">
      <c r="A19" s="37"/>
      <c r="B19" s="52"/>
      <c r="C19" s="54"/>
      <c r="D19" s="53"/>
      <c r="E19" s="54"/>
      <c r="F19" s="55"/>
      <c r="G19" s="55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21.75" customHeight="1" thickBot="1">
      <c r="A20" s="37"/>
      <c r="B20" s="52"/>
      <c r="C20" s="54"/>
      <c r="D20" s="53"/>
      <c r="E20" s="54"/>
      <c r="F20" s="55"/>
      <c r="G20" s="55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21.75" customHeight="1" thickBot="1">
      <c r="A21" s="37"/>
      <c r="B21" s="52"/>
      <c r="C21" s="54"/>
      <c r="D21" s="53"/>
      <c r="E21" s="54"/>
      <c r="F21" s="55"/>
      <c r="G21" s="55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21.75" customHeight="1" thickBot="1">
      <c r="A22" s="37"/>
      <c r="B22" s="52"/>
      <c r="C22" s="54"/>
      <c r="D22" s="53"/>
      <c r="E22" s="54"/>
      <c r="F22" s="55"/>
      <c r="G22" s="55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21.75" customHeight="1" thickBot="1">
      <c r="A23" s="37"/>
      <c r="B23" s="52"/>
      <c r="C23" s="54"/>
      <c r="D23" s="53"/>
      <c r="E23" s="54"/>
      <c r="F23" s="55"/>
      <c r="G23" s="55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21.75" customHeight="1" thickBot="1">
      <c r="A24" s="37"/>
      <c r="B24" s="56"/>
      <c r="C24" s="54"/>
      <c r="D24" s="53"/>
      <c r="E24" s="54"/>
      <c r="F24" s="55"/>
      <c r="G24" s="55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21.75" customHeight="1" thickBot="1">
      <c r="A25" s="37"/>
      <c r="B25" s="56"/>
      <c r="C25" s="54"/>
      <c r="D25" s="53"/>
      <c r="E25" s="54"/>
      <c r="F25" s="55"/>
      <c r="G25" s="55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21.75" customHeight="1" thickBot="1">
      <c r="A26" s="37"/>
      <c r="B26" s="56"/>
      <c r="C26" s="54"/>
      <c r="D26" s="53"/>
      <c r="E26" s="54"/>
      <c r="F26" s="55"/>
      <c r="G26" s="55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21.75" customHeight="1" thickBot="1">
      <c r="A27" s="37"/>
      <c r="B27" s="57"/>
      <c r="C27" s="54"/>
      <c r="D27" s="53"/>
      <c r="E27" s="54"/>
      <c r="F27" s="55"/>
      <c r="G27" s="55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21.75" customHeight="1" thickBot="1">
      <c r="A28" s="37"/>
      <c r="B28" s="56"/>
      <c r="C28" s="54"/>
      <c r="D28" s="53"/>
      <c r="E28" s="54"/>
      <c r="F28" s="55"/>
      <c r="G28" s="55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21.75" customHeight="1" thickBot="1">
      <c r="A29" s="37"/>
      <c r="B29" s="56"/>
      <c r="C29" s="54"/>
      <c r="D29" s="53"/>
      <c r="E29" s="54"/>
      <c r="F29" s="55"/>
      <c r="G29" s="55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21.75" customHeight="1" thickBot="1">
      <c r="A30" s="37"/>
      <c r="B30" s="56"/>
      <c r="C30" s="54"/>
      <c r="D30" s="53"/>
      <c r="E30" s="54"/>
      <c r="F30" s="55"/>
      <c r="G30" s="55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21.75" customHeight="1" thickBot="1">
      <c r="A31" s="37"/>
      <c r="B31" s="56"/>
      <c r="C31" s="54"/>
      <c r="D31" s="58"/>
      <c r="E31" s="54"/>
      <c r="F31" s="55"/>
      <c r="G31" s="55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21.75" customHeight="1" thickBot="1">
      <c r="A32" s="37"/>
      <c r="B32" s="56"/>
      <c r="C32" s="54"/>
      <c r="D32" s="53"/>
      <c r="E32" s="54"/>
      <c r="F32" s="54"/>
      <c r="G32" s="54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21.75" customHeight="1" thickBot="1">
      <c r="A33" s="37"/>
      <c r="B33" s="56"/>
      <c r="C33" s="54"/>
      <c r="D33" s="53"/>
      <c r="E33" s="54"/>
      <c r="F33" s="55"/>
      <c r="G33" s="55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21.75" customHeight="1" thickBot="1">
      <c r="A34" s="37"/>
      <c r="B34" s="56"/>
      <c r="C34" s="54"/>
      <c r="D34" s="53"/>
      <c r="E34" s="54"/>
      <c r="F34" s="54"/>
      <c r="G34" s="54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21.75" customHeight="1" thickBot="1">
      <c r="A35" s="37"/>
      <c r="B35" s="56"/>
      <c r="C35" s="54"/>
      <c r="D35" s="53"/>
      <c r="E35" s="54"/>
      <c r="F35" s="54"/>
      <c r="G35" s="54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21.75" customHeight="1" thickBot="1">
      <c r="A36" s="37"/>
      <c r="B36" s="56"/>
      <c r="C36" s="54"/>
      <c r="D36" s="53"/>
      <c r="E36" s="54"/>
      <c r="F36" s="54"/>
      <c r="G36" s="54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21.75" customHeight="1" thickBot="1">
      <c r="A37" s="37"/>
      <c r="B37" s="56"/>
      <c r="C37" s="54"/>
      <c r="D37" s="53"/>
      <c r="E37" s="54"/>
      <c r="F37" s="54"/>
      <c r="G37" s="54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21.75" customHeight="1" thickBot="1">
      <c r="A38" s="37"/>
      <c r="B38" s="56"/>
      <c r="C38" s="54"/>
      <c r="D38" s="53"/>
      <c r="E38" s="54"/>
      <c r="F38" s="54"/>
      <c r="G38" s="54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21.75" customHeight="1" thickBot="1">
      <c r="A39" s="37"/>
      <c r="B39" s="56"/>
      <c r="C39" s="54"/>
      <c r="D39" s="53"/>
      <c r="E39" s="54"/>
      <c r="F39" s="54"/>
      <c r="G39" s="54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21.75" customHeight="1" thickBot="1">
      <c r="A40" s="37"/>
      <c r="B40" s="56"/>
      <c r="C40" s="54"/>
      <c r="D40" s="53"/>
      <c r="E40" s="54"/>
      <c r="F40" s="54"/>
      <c r="G40" s="54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21.75" customHeight="1" thickBot="1">
      <c r="A41" s="37"/>
      <c r="B41" s="56"/>
      <c r="C41" s="54"/>
      <c r="D41" s="53"/>
      <c r="E41" s="54"/>
      <c r="F41" s="55"/>
      <c r="G41" s="55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5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5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5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5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5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5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5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5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5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5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5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5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5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5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5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5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5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5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5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5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ht="15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honeticPr fontId="1" type="noConversion"/>
  <pageMargins left="0.70866141732283472" right="0.70866141732283472" top="0.74803149606299213" bottom="0.74803149606299213" header="0" footer="0"/>
  <pageSetup paperSize="9" scale="9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01.WBS</vt:lpstr>
      <vt:lpstr>02.개정이력</vt:lpstr>
      <vt:lpstr>'01.WBS'!Print_Area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2018-05-04T04:57:31Z</cp:lastPrinted>
  <dcterms:created xsi:type="dcterms:W3CDTF">2003-09-02T09:52:06Z</dcterms:created>
  <dcterms:modified xsi:type="dcterms:W3CDTF">2019-01-18T02:22:32Z</dcterms:modified>
</cp:coreProperties>
</file>