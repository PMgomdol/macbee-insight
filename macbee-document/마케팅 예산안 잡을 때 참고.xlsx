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훈련팀 33\Desktop\"/>
    </mc:Choice>
  </mc:AlternateContent>
  <xr:revisionPtr revIDLastSave="0" documentId="8_{07B9E80D-45E3-4933-AEB9-97D51AC0B75E}" xr6:coauthVersionLast="47" xr6:coauthVersionMax="47" xr10:uidLastSave="{00000000-0000-0000-0000-000000000000}"/>
  <bookViews>
    <workbookView xWindow="1530" yWindow="735" windowWidth="19335" windowHeight="14685" activeTab="1" xr2:uid="{00000000-000D-0000-FFFF-FFFF00000000}"/>
  </bookViews>
  <sheets>
    <sheet name="시작" sheetId="2" r:id="rId1"/>
    <sheet name="채널 마케팅 예산" sheetId="1" r:id="rId2"/>
  </sheets>
  <definedNames>
    <definedName name="_xlnm.Print_Titles" localSheetId="1">'채널 마케팅 예산'!$3:$3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O34" i="1" l="1"/>
  <c r="N34" i="1"/>
  <c r="M34" i="1"/>
  <c r="L34" i="1"/>
  <c r="K34" i="1"/>
  <c r="J34" i="1"/>
  <c r="I34" i="1"/>
  <c r="H34" i="1"/>
  <c r="G34" i="1"/>
  <c r="Q24" i="1" l="1"/>
  <c r="Q25" i="1"/>
  <c r="Q26" i="1"/>
  <c r="Q70" i="1"/>
  <c r="F5" i="1"/>
  <c r="Q30" i="1"/>
  <c r="Q31" i="1"/>
  <c r="Q32" i="1"/>
  <c r="Q21" i="1"/>
  <c r="Q22" i="1"/>
  <c r="Q23" i="1"/>
  <c r="Q14" i="1"/>
  <c r="Q16" i="1"/>
  <c r="Q37" i="1"/>
  <c r="Q38" i="1"/>
  <c r="Q39" i="1"/>
  <c r="Q45" i="1"/>
  <c r="Q46" i="1"/>
  <c r="Q47" i="1"/>
  <c r="Q53" i="1"/>
  <c r="Q54" i="1"/>
  <c r="Q59" i="1"/>
  <c r="Q60" i="1"/>
  <c r="Q61" i="1"/>
  <c r="Q3" i="1"/>
  <c r="I8" i="1"/>
  <c r="E68" i="1"/>
  <c r="F68" i="1"/>
  <c r="G68" i="1"/>
  <c r="H68" i="1"/>
  <c r="I68" i="1"/>
  <c r="J68" i="1"/>
  <c r="K68" i="1"/>
  <c r="L68" i="1"/>
  <c r="M68" i="1"/>
  <c r="N68" i="1"/>
  <c r="O68" i="1"/>
  <c r="D68" i="1"/>
  <c r="E62" i="1"/>
  <c r="F62" i="1"/>
  <c r="G62" i="1"/>
  <c r="H62" i="1"/>
  <c r="I62" i="1"/>
  <c r="J62" i="1"/>
  <c r="K62" i="1"/>
  <c r="L62" i="1"/>
  <c r="M62" i="1"/>
  <c r="N62" i="1"/>
  <c r="O62" i="1"/>
  <c r="D62" i="1"/>
  <c r="E33" i="1"/>
  <c r="F33" i="1"/>
  <c r="G33" i="1"/>
  <c r="H33" i="1"/>
  <c r="I33" i="1"/>
  <c r="J33" i="1"/>
  <c r="K33" i="1"/>
  <c r="L33" i="1"/>
  <c r="M33" i="1"/>
  <c r="N33" i="1"/>
  <c r="O33" i="1"/>
  <c r="D33" i="1"/>
  <c r="D40" i="1"/>
  <c r="D41" i="1"/>
  <c r="Q67" i="1"/>
  <c r="Q66" i="1"/>
  <c r="Q65" i="1"/>
  <c r="Q68" i="1" s="1"/>
  <c r="N5" i="1"/>
  <c r="O55" i="1"/>
  <c r="O56" i="1"/>
  <c r="N55" i="1"/>
  <c r="N56" i="1" s="1"/>
  <c r="M55" i="1"/>
  <c r="M56" i="1"/>
  <c r="L55" i="1"/>
  <c r="L56" i="1" s="1"/>
  <c r="K55" i="1"/>
  <c r="K56" i="1"/>
  <c r="J55" i="1"/>
  <c r="J56" i="1" s="1"/>
  <c r="I55" i="1"/>
  <c r="I56" i="1"/>
  <c r="H55" i="1"/>
  <c r="H56" i="1" s="1"/>
  <c r="G55" i="1"/>
  <c r="G56" i="1"/>
  <c r="F55" i="1"/>
  <c r="F56" i="1" s="1"/>
  <c r="E55" i="1"/>
  <c r="E56" i="1" s="1"/>
  <c r="D55" i="1"/>
  <c r="D56" i="1" s="1"/>
  <c r="O48" i="1"/>
  <c r="O49" i="1" s="1"/>
  <c r="N48" i="1"/>
  <c r="N49" i="1" s="1"/>
  <c r="M48" i="1"/>
  <c r="M49" i="1" s="1"/>
  <c r="L48" i="1"/>
  <c r="L49" i="1" s="1"/>
  <c r="K48" i="1"/>
  <c r="K49" i="1"/>
  <c r="J48" i="1"/>
  <c r="J49" i="1" s="1"/>
  <c r="I48" i="1"/>
  <c r="I49" i="1" s="1"/>
  <c r="H48" i="1"/>
  <c r="H49" i="1" s="1"/>
  <c r="G48" i="1"/>
  <c r="G49" i="1" s="1"/>
  <c r="F48" i="1"/>
  <c r="F49" i="1" s="1"/>
  <c r="E48" i="1"/>
  <c r="E49" i="1" s="1"/>
  <c r="D48" i="1"/>
  <c r="D49" i="1" s="1"/>
  <c r="O41" i="1"/>
  <c r="N41" i="1"/>
  <c r="M41" i="1"/>
  <c r="L41" i="1"/>
  <c r="K41" i="1"/>
  <c r="J41" i="1"/>
  <c r="I41" i="1"/>
  <c r="H41" i="1"/>
  <c r="G41" i="1"/>
  <c r="F41" i="1"/>
  <c r="E41" i="1"/>
  <c r="O40" i="1"/>
  <c r="N40" i="1"/>
  <c r="M40" i="1"/>
  <c r="L40" i="1"/>
  <c r="K40" i="1"/>
  <c r="K42" i="1" s="1"/>
  <c r="J40" i="1"/>
  <c r="I40" i="1"/>
  <c r="H40" i="1"/>
  <c r="H42" i="1"/>
  <c r="G40" i="1"/>
  <c r="G42" i="1" s="1"/>
  <c r="F40" i="1"/>
  <c r="E40" i="1"/>
  <c r="O20" i="1"/>
  <c r="O27" i="1" s="1"/>
  <c r="N20" i="1"/>
  <c r="N27" i="1" s="1"/>
  <c r="M20" i="1"/>
  <c r="M27" i="1"/>
  <c r="L20" i="1"/>
  <c r="L27" i="1" s="1"/>
  <c r="K20" i="1"/>
  <c r="K27" i="1" s="1"/>
  <c r="J20" i="1"/>
  <c r="J27" i="1" s="1"/>
  <c r="I20" i="1"/>
  <c r="I27" i="1"/>
  <c r="H20" i="1"/>
  <c r="H27" i="1" s="1"/>
  <c r="G20" i="1"/>
  <c r="G27" i="1"/>
  <c r="F20" i="1"/>
  <c r="F27" i="1" s="1"/>
  <c r="E20" i="1"/>
  <c r="E27" i="1" s="1"/>
  <c r="D20" i="1"/>
  <c r="D27" i="1" s="1"/>
  <c r="O15" i="1"/>
  <c r="N15" i="1"/>
  <c r="M15" i="1"/>
  <c r="L15" i="1"/>
  <c r="K15" i="1"/>
  <c r="J15" i="1"/>
  <c r="I15" i="1"/>
  <c r="H15" i="1"/>
  <c r="G15" i="1"/>
  <c r="F15" i="1"/>
  <c r="E15" i="1"/>
  <c r="D15" i="1"/>
  <c r="O13" i="1"/>
  <c r="O17" i="1" s="1"/>
  <c r="N13" i="1"/>
  <c r="N17" i="1" s="1"/>
  <c r="M13" i="1"/>
  <c r="L13" i="1"/>
  <c r="K13" i="1"/>
  <c r="K17" i="1" s="1"/>
  <c r="J13" i="1"/>
  <c r="I13" i="1"/>
  <c r="H13" i="1"/>
  <c r="H17" i="1" s="1"/>
  <c r="G13" i="1"/>
  <c r="F13" i="1"/>
  <c r="E13" i="1"/>
  <c r="D13" i="1"/>
  <c r="O8" i="1"/>
  <c r="N8" i="1"/>
  <c r="M8" i="1"/>
  <c r="L8" i="1"/>
  <c r="K8" i="1"/>
  <c r="J8" i="1"/>
  <c r="H8" i="1"/>
  <c r="G8" i="1"/>
  <c r="F8" i="1"/>
  <c r="E8" i="1"/>
  <c r="D8" i="1"/>
  <c r="O6" i="1"/>
  <c r="O7" i="1" s="1"/>
  <c r="N6" i="1"/>
  <c r="N7" i="1" s="1"/>
  <c r="N9" i="1" s="1"/>
  <c r="M6" i="1"/>
  <c r="M7" i="1" s="1"/>
  <c r="M9" i="1" s="1"/>
  <c r="L6" i="1"/>
  <c r="L7" i="1" s="1"/>
  <c r="L9" i="1" s="1"/>
  <c r="K6" i="1"/>
  <c r="K7" i="1" s="1"/>
  <c r="J6" i="1"/>
  <c r="J7" i="1"/>
  <c r="J9" i="1" s="1"/>
  <c r="I6" i="1"/>
  <c r="I7" i="1" s="1"/>
  <c r="I9" i="1" s="1"/>
  <c r="H6" i="1"/>
  <c r="H7" i="1" s="1"/>
  <c r="H9" i="1" s="1"/>
  <c r="G6" i="1"/>
  <c r="G7" i="1" s="1"/>
  <c r="G9" i="1" s="1"/>
  <c r="F6" i="1"/>
  <c r="F7" i="1" s="1"/>
  <c r="E6" i="1"/>
  <c r="E7" i="1" s="1"/>
  <c r="E9" i="1" s="1"/>
  <c r="D6" i="1"/>
  <c r="D7" i="1" s="1"/>
  <c r="O5" i="1"/>
  <c r="M5" i="1"/>
  <c r="L5" i="1"/>
  <c r="K5" i="1"/>
  <c r="J5" i="1"/>
  <c r="I5" i="1"/>
  <c r="H5" i="1"/>
  <c r="G5" i="1"/>
  <c r="E5" i="1"/>
  <c r="D5" i="1"/>
  <c r="E42" i="1"/>
  <c r="O42" i="1"/>
  <c r="I42" i="1"/>
  <c r="G17" i="1"/>
  <c r="Q8" i="1" l="1"/>
  <c r="Q48" i="1"/>
  <c r="Q49" i="1" s="1"/>
  <c r="Q13" i="1"/>
  <c r="J17" i="1"/>
  <c r="Q62" i="1"/>
  <c r="Q33" i="1"/>
  <c r="E17" i="1"/>
  <c r="E34" i="1" s="1"/>
  <c r="I17" i="1"/>
  <c r="M17" i="1"/>
  <c r="Q15" i="1"/>
  <c r="Q17" i="1" s="1"/>
  <c r="M42" i="1"/>
  <c r="Q41" i="1"/>
  <c r="N42" i="1"/>
  <c r="O9" i="1"/>
  <c r="D17" i="1"/>
  <c r="D34" i="1" s="1"/>
  <c r="G70" i="1"/>
  <c r="J42" i="1"/>
  <c r="D42" i="1"/>
  <c r="F9" i="1"/>
  <c r="K9" i="1"/>
  <c r="F17" i="1"/>
  <c r="F34" i="1" s="1"/>
  <c r="O70" i="1"/>
  <c r="Q55" i="1"/>
  <c r="Q56" i="1" s="1"/>
  <c r="L17" i="1"/>
  <c r="Q20" i="1"/>
  <c r="Q27" i="1" s="1"/>
  <c r="H70" i="1"/>
  <c r="L42" i="1"/>
  <c r="M70" i="1"/>
  <c r="J70" i="1"/>
  <c r="I70" i="1"/>
  <c r="N70" i="1"/>
  <c r="D9" i="1"/>
  <c r="Q7" i="1"/>
  <c r="Q9" i="1" s="1"/>
  <c r="K70" i="1"/>
  <c r="E70" i="1"/>
  <c r="F42" i="1"/>
  <c r="F70" i="1" s="1"/>
  <c r="Q40" i="1"/>
  <c r="Q42" i="1" l="1"/>
  <c r="L70" i="1"/>
  <c r="D70" i="1"/>
  <c r="Q34" i="1"/>
</calcChain>
</file>

<file path=xl/sharedStrings.xml><?xml version="1.0" encoding="utf-8"?>
<sst xmlns="http://schemas.openxmlformats.org/spreadsheetml/2006/main" count="221" uniqueCount="92">
  <si>
    <t>이 서식 파일 정보</t>
  </si>
  <si>
    <t>이 템플릿을 사용하여 채널 마케팅 예산을 만드세요.</t>
  </si>
  <si>
    <t>표에 월별 예상 판매량과 각종 정보를 입력하면 됩니다.</t>
  </si>
  <si>
    <t>정보를 입력하면 합계가 자동으로 계산되고 스파크라인이 업데이트됩니다.</t>
  </si>
  <si>
    <t>참고: </t>
  </si>
  <si>
    <t>채널 마케팅 예산 워크시트의 A열에서 더 자세한 지침을 확인할 수 있습니다. 이 텍스트는 일부러 숨겨 놓았습니다. 텍스트를 제거하려면 A열을 선택한 다음 [삭제]를 선택합니다. 텍스트를 표시하려면 A열을 선택한 다음 글꼴 색상을 변경합니다.</t>
  </si>
  <si>
    <t>표에 대해 자세히 알려면 표 안에서 SHIFT 키를 누른 채 F10 키를 누르고 [표] 옵션을 선택한 다음, [대체 텍스트]를 선택합니다.</t>
  </si>
  <si>
    <t>이 워크시트에 채널 마케팅 예산을 작성합니다. 오른쪽 셀에 이 워크시트의 제목이 표시됩니다. 이 열의 몇몇 셀에서 유용한 지침을 확인할 수 있습니다. 아래쪽 화살표를 사용하여 시작할 수 있습니다. 오른쪽 셀에 이 워크시트의 제목이 표시됩니다.</t>
  </si>
  <si>
    <t>이 행의 셀 C2:O2에는 요율 및 월 레이블이, 셀 Q2에는 합계 레이블이 있습니다.</t>
  </si>
  <si>
    <t>오른쪽 셀에는 예상 판매량 합계 레이블이 있습니다. 셀 D3:O3에 월별 예상 판매량을 입력합니다. 합계는 셀 Q3에 자동 계산됩니다.</t>
  </si>
  <si>
    <t>오른쪽 셀에서 시작하는 인건비 표에 세부 정보를 입력합니다. 표 마지막에 인건비 월별 합계가, 셀 Q9에 연간 합계가 자동으로 계산됩니다. 셀 S9에는 스파크라인이 업데이트됩니다. 다음 지침은 A10 셀에 있습니다.</t>
  </si>
  <si>
    <t>오른쪽 셀에서 시작하는 다이렉트마케팅 표에 세부 정보를 입력합니다. 표 마지막에 텔레마케팅 월별 합계가, 셀 Q17에 연간 합계가 자동으로 계산됩니다. 셀 S17에는 스파크라인이 업데이트됩니다. 다음 지침은 셀 A18에 있습니다.</t>
  </si>
  <si>
    <t>오른쪽 셀에서 시작하는 인터넷 마케팅 표에 세부 정보를 입력합니다. 표 마지막에 인터넷 마케팅 월별 합계가, 셀 Q24에 연간 합계가 자동으로 계산됩니다. 셀 S24에는 스파크라인이 업데이트됩니다. 다음 지침은 A25 셀에 있습니다.</t>
  </si>
  <si>
    <t>오른쪽 셀에서 시작하는 다이렉트 메일 표에 세부 정보를 입력합니다. 표 마지막에 다이렉트 메일 월별 합계가, 셀 Q30에 연간 합계가 자동으로 계산됩니다. 다음 지침은 셀 A31에 있습니다.</t>
  </si>
  <si>
    <t>이 행의 셀 D31:O31에 다이렉트 마케팅 합계가, 셀 Q31에 연간 합계가 자동으로 계산됩니다. 셀 S31에는 스파크라인이 업데이트됩니다.</t>
  </si>
  <si>
    <t>오른쪽 셀에서 시작하는 에이전트/브로커 표에 세부 정보를 입력합니다. 표 마지막에 에이전트/브로커 월별 합계가, 셀 Q39에 연간 합계가 자동으로 계산됩니다. 셀 S39에는 스파크라인이 업데이트됩니다. 다음 지침은 셀 A40에 있습니다.</t>
  </si>
  <si>
    <t>오른쪽 셀에서 시작하는 유통업체 표에 세부 정보를 입력합니다. 표 마지막에 유통업체 월별 합계가, 셀 Q46에 연간 합계가 자동으로 계산됩니다. 셀 S46에는 스파크라인이 업데이트됩니다. 다음 지침은 셀 A47에 있습니다.</t>
  </si>
  <si>
    <t>오른쪽 셀에서 시작하는 대리점 표에 세부 정보를 입력합니다. 표 마지막에 대리점 월별 합계가, 셀 Q53에 연간 합계가 자동으로 계산됩니다. 셀 S53에는 스파크라인이 업데이트됩니다. 다음 지침은 셀 A54에 있습니다.</t>
  </si>
  <si>
    <t>오른쪽 셀에서 시작하는 고객 확보/유지 표에 세부 정보를 입력합니다. 표 마지막에 고객 확보/유지 월별 합계가, 셀 Q59에 연간 합계가 자동으로 계산됩니다. 셀 S59에는 스파크라인이 업데이트됩니다. 다음 지침은 셀 A60에 있습니다.</t>
  </si>
  <si>
    <t>오른쪽 셀에서 시작하는 기타 경비 표에 세부 정보를 입력합니다. 표 마지막에 기타 경비 월별 합계가, 셀 Q65에 연간 합계가 자동으로 계산됩니다. 셀 S65에는 스파크라인이 업데이트됩니다. 다음 지침은 셀 A67에 있습니다.</t>
  </si>
  <si>
    <t>이 행의 셀 D67:O67에 총 마케팅 예산이, 셀 Q67에 연간 합계가 자동으로 계산됩니다. 셀 S67에는 스파크라인이 업데이트됩니다.</t>
  </si>
  <si>
    <t xml:space="preserve"> </t>
  </si>
  <si>
    <t>예상 판매량 합계 \(000,000)</t>
  </si>
  <si>
    <t>인건비 항목</t>
  </si>
  <si>
    <t>인건비 (총 판매량에서 차지하는 비율)</t>
  </si>
  <si>
    <t>인사 - 인원수</t>
  </si>
  <si>
    <t>인사 - 비용</t>
  </si>
  <si>
    <t>수수료</t>
  </si>
  <si>
    <t>인건비 합계 \(000,000)</t>
  </si>
  <si>
    <t>직접 마케팅 항목</t>
  </si>
  <si>
    <t>직접 마케팅(총 판매량에서 차지하는 비율)</t>
  </si>
  <si>
    <t>텔레마케팅 (다이렉트 판매량에서 차지하는 비율)</t>
  </si>
  <si>
    <t>인프라 지원</t>
  </si>
  <si>
    <t>온라인 교육</t>
  </si>
  <si>
    <t>텔레마케팅 합계 \(000,000)</t>
  </si>
  <si>
    <t>인터넷 마케팅 항목</t>
  </si>
  <si>
    <t>인터넷 마케팅(다이렉트 판매량에서 차지하는 비율)</t>
  </si>
  <si>
    <t>웹 사이트 개발(일회성 비용)</t>
  </si>
  <si>
    <t>호스팅</t>
  </si>
  <si>
    <t>지원 및 유지 관리</t>
  </si>
  <si>
    <t>Facebook</t>
  </si>
  <si>
    <t>Twitter</t>
  </si>
  <si>
    <t>YouTube</t>
  </si>
  <si>
    <t>인터넷 마케팅 합계 \(000,000)</t>
  </si>
  <si>
    <t>다이렉트 메일 항목</t>
  </si>
  <si>
    <t>다이렉트 메일(다이렉트 판매량에서 차지하는 비율)</t>
  </si>
  <si>
    <t>준비물</t>
  </si>
  <si>
    <t>우편</t>
  </si>
  <si>
    <t>다이렉트 메일 합계 \(000,000)</t>
  </si>
  <si>
    <t>다이렉트 마케팅 합계 \(000,000)</t>
  </si>
  <si>
    <t>에이전트/브로커 항목</t>
  </si>
  <si>
    <t>에이전트/브로커(총 판매량에서 차지하는 비율)</t>
  </si>
  <si>
    <t>의사소통</t>
  </si>
  <si>
    <t>판촉</t>
  </si>
  <si>
    <t>할인</t>
  </si>
  <si>
    <t>수수료 (에이전트 판매량에서 차지하는 비율)</t>
  </si>
  <si>
    <t>에이전트/브로커 합계 \(000,000)</t>
  </si>
  <si>
    <t>배포자 항목</t>
  </si>
  <si>
    <t>유통업체(총 판매량에서 차지하는 비율)</t>
  </si>
  <si>
    <t>수수료/할인 (유통업체 판매량에서 차지하는 비율)</t>
  </si>
  <si>
    <t>유통업체 합계 \(000,000)</t>
  </si>
  <si>
    <t>소매 항목</t>
  </si>
  <si>
    <t>대리점(총 판매량에서 차지하는 비율)</t>
  </si>
  <si>
    <t>수수료/할인 (대리점 판매량에서 차지하는 비율)</t>
  </si>
  <si>
    <t>대리점 합계 \(000,000)</t>
  </si>
  <si>
    <t>고객 요구 사항 및 보존(자동차) 항목</t>
  </si>
  <si>
    <t>고객 확보/유지</t>
  </si>
  <si>
    <t>인적 자원</t>
  </si>
  <si>
    <t>커뮤니케이션</t>
  </si>
  <si>
    <t>프로모션/쿠폰</t>
  </si>
  <si>
    <t>고객 확보/유지 합계 \(000,000)</t>
  </si>
  <si>
    <t>기타 경비 항목</t>
  </si>
  <si>
    <t>기타 경비</t>
  </si>
  <si>
    <t>여행</t>
  </si>
  <si>
    <t>인프라(컴퓨터, 전화 등)</t>
  </si>
  <si>
    <t>채널 지원</t>
  </si>
  <si>
    <t>기타 경비 합계 \(000,000)</t>
  </si>
  <si>
    <t>총 마케팅 예산</t>
  </si>
  <si>
    <t>요율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</si>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</sst>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₩&quot;* #,##0_-;\-&quot;₩&quot;* #,##0_-;_-&quot;₩&quot;* &quot;-&quot;_-;_-@_-"/>
    <numFmt numFmtId="44" formatCode="_-&quot;₩&quot;* #,##0.00_-;\-&quot;₩&quot;* #,##0.00_-;_-&quot;₩&quot;* &quot;-&quot;??_-;_-@_-"/>
    <numFmt numFmtId="176" formatCode="_(* #,##0_);_(* \(#,##0\);_(* &quot;-&quot;_);_(@_)"/>
    <numFmt numFmtId="177" formatCode="_(* #,##0.00_);_(* \(#,##0.00\);_(* &quot;-&quot;??_);_(@_)"/>
    <numFmt numFmtId="178" formatCode="#,##0_ "/>
    <numFmt numFmtId="179" formatCode="#,##0.00_ "/>
    <numFmt numFmtId="180" formatCode="0.00_ "/>
  </numFmts>
  <fonts count="88">
    <font>
      <sz val="10"/>
      <color theme="1" tint="0.14996795556505021"/>
      <name val="Malgun Gothic"/>
      <family val="2"/>
    </font>
    <font>
      <sz val="11"/>
      <color theme="1"/>
      <name val="Malgun Gothic"/>
      <family val="2"/>
    </font>
    <font>
      <sz val="11"/>
      <color theme="0"/>
      <name val="Malgun Gothic"/>
      <family val="2"/>
    </font>
    <font>
      <sz val="11"/>
      <color rgb="FF9C0006"/>
      <name val="Malgun Gothic"/>
      <family val="2"/>
    </font>
    <font>
      <b/>
      <sz val="11"/>
      <color rgb="FFFA7D00"/>
      <name val="Malgun Gothic"/>
      <family val="2"/>
    </font>
    <font>
      <b/>
      <sz val="11"/>
      <color theme="0"/>
      <name val="Malgun Gothic"/>
      <family val="2"/>
    </font>
    <font>
      <sz val="10"/>
      <color theme="1" tint="0.14996795556505021"/>
      <name val="Malgun Gothic"/>
      <family val="2"/>
    </font>
    <font>
      <i/>
      <sz val="11"/>
      <color rgb="FF7F7F7F"/>
      <name val="Malgun Gothic"/>
      <family val="2"/>
    </font>
    <font>
      <sz val="11"/>
      <color rgb="FF006100"/>
      <name val="Malgun Gothic"/>
      <family val="2"/>
    </font>
    <font>
      <sz val="11"/>
      <color theme="3"/>
      <name val="Malgun Gothic"/>
      <family val="2"/>
    </font>
    <font>
      <sz val="11"/>
      <color theme="4"/>
      <name val="Malgun Gothic"/>
      <family val="2"/>
    </font>
    <font>
      <b/>
      <sz val="11"/>
      <color theme="3"/>
      <name val="Malgun Gothic"/>
      <family val="2"/>
    </font>
    <font>
      <sz val="11"/>
      <color rgb="FF3F3F76"/>
      <name val="Malgun Gothic"/>
      <family val="2"/>
    </font>
    <font>
      <sz val="11"/>
      <color rgb="FFFA7D00"/>
      <name val="Malgun Gothic"/>
      <family val="2"/>
    </font>
    <font>
      <sz val="11"/>
      <color rgb="FF9C5700"/>
      <name val="Malgun Gothic"/>
      <family val="2"/>
    </font>
    <font>
      <b/>
      <sz val="11"/>
      <color rgb="FF3F3F3F"/>
      <name val="Malgun Gothic"/>
      <family val="2"/>
    </font>
    <font>
      <b/>
      <sz val="26"/>
      <color theme="4"/>
      <name val="Malgun Gothic"/>
      <family val="2"/>
    </font>
    <font>
      <b/>
      <sz val="11"/>
      <color theme="1"/>
      <name val="Malgun Gothic"/>
      <family val="2"/>
    </font>
    <font>
      <sz val="11"/>
      <color rgb="FFFF0000"/>
      <name val="Malgun Gothic"/>
      <family val="2"/>
    </font>
    <font>
      <b/>
      <sz val="16"/>
      <color theme="0"/>
      <name val="Malgun Gothic"/>
      <family val="2"/>
    </font>
    <font>
      <sz val="11"/>
      <color theme="1" tint="0.14996795556505021"/>
      <name val="Malgun Gothic"/>
      <family val="2"/>
    </font>
    <font>
      <b/>
      <sz val="11"/>
      <color theme="1" tint="0.14996795556505021"/>
      <name val="Malgun Gothic"/>
      <family val="2"/>
    </font>
    <font>
      <b/>
      <sz val="48"/>
      <color rgb="FF12355B"/>
      <name val="Malgun Gothic"/>
      <family val="2"/>
    </font>
    <font>
      <sz val="11"/>
      <color theme="1" tint="0.14999847407452621"/>
      <name val="Malgun Gothic"/>
      <family val="2"/>
    </font>
    <font>
      <b/>
      <sz val="12"/>
      <color theme="0"/>
      <name val="Malgun Gothic"/>
      <family val="2"/>
    </font>
    <font>
      <b/>
      <sz val="13"/>
      <color theme="0"/>
      <name val="Malgun Gothic"/>
      <family val="2"/>
    </font>
    <font>
      <b/>
      <sz val="13"/>
      <color rgb="FFE2F0FD"/>
      <name val="Malgun Gothic"/>
      <family val="2"/>
    </font>
    <font>
      <b/>
      <sz val="13"/>
      <color theme="2"/>
      <name val="Malgun Gothic"/>
      <family val="2"/>
    </font>
    <font>
      <b/>
      <sz val="12"/>
      <color theme="2"/>
      <name val="Malgun Gothic"/>
      <family val="2"/>
    </font>
    <font>
      <b/>
      <sz val="13"/>
      <color rgb="FF12355B"/>
      <name val="Malgun Gothic"/>
      <family val="2"/>
    </font>
    <font>
      <b/>
      <sz val="12"/>
      <color rgb="FF12355B"/>
      <name val="Malgun Gothic"/>
      <family val="2"/>
    </font>
    <font>
      <sz val="10"/>
      <color theme="1" tint="0.14999847407452621"/>
      <name val="Malgun Gothic"/>
      <family val="2"/>
    </font>
    <font>
      <sz val="12"/>
      <color theme="0"/>
      <name val="Malgun Gothic"/>
      <family val="2"/>
    </font>
    <font>
      <sz val="11"/>
      <color theme="9"/>
      <name val="Malgun Gothic"/>
      <family val="2"/>
    </font>
    <font>
      <b/>
      <sz val="12"/>
      <color rgb="FF1B335A"/>
      <name val="Malgun Gothic"/>
      <family val="2"/>
    </font>
    <font>
      <b/>
      <i/>
      <sz val="12"/>
      <color rgb="FF1B335A"/>
      <name val="Malgun Gothic"/>
      <family val="2"/>
    </font>
    <font>
      <b/>
      <sz val="18"/>
      <color theme="0"/>
      <name val="Malgun Gothic"/>
      <family val="2"/>
    </font>
    <font>
      <sz val="13"/>
      <color theme="3" tint="0.249977111117893"/>
      <name val="Malgun Gothic"/>
      <family val="2"/>
    </font>
    <font>
      <sz val="12"/>
      <color theme="3" tint="0.249977111117893"/>
      <name val="Malgun Gothic"/>
      <family val="2"/>
    </font>
    <font>
      <sz val="12"/>
      <color theme="3" tint="0.34998626667073579"/>
      <name val="Malgun Gothic"/>
      <family val="2"/>
    </font>
    <font>
      <b/>
      <sz val="18"/>
      <color theme="1" tint="0.14999847407452621"/>
      <name val="Malgun Gothic"/>
      <family val="2"/>
    </font>
    <font>
      <sz val="10"/>
      <color theme="0"/>
      <name val="Malgun Gothic"/>
      <family val="2"/>
    </font>
    <font>
      <sz val="12"/>
      <color rgb="FFF16C20"/>
      <name val="Malgun Gothic"/>
      <family val="2"/>
    </font>
    <font>
      <b/>
      <sz val="13"/>
      <color rgb="FF1B335A"/>
      <name val="Malgun Gothic"/>
      <family val="2"/>
    </font>
    <font>
      <sz val="12"/>
      <color rgb="FF1B335A"/>
      <name val="Malgun Gothic"/>
      <family val="2"/>
    </font>
    <font>
      <b/>
      <sz val="12"/>
      <color rgb="FFE76052"/>
      <name val="Malgun Gothic"/>
      <family val="2"/>
    </font>
    <font>
      <sz val="12"/>
      <color theme="1" tint="0.14999847407452621"/>
      <name val="Malgun Gothic"/>
      <family val="2"/>
    </font>
    <font>
      <b/>
      <sz val="11"/>
      <color theme="1" tint="0.14999847407452621"/>
      <name val="Malgun Gothic"/>
      <family val="2"/>
    </font>
    <font>
      <b/>
      <i/>
      <sz val="13"/>
      <color rgb="FF1B335A"/>
      <name val="Malgun Gothic"/>
      <family val="2"/>
    </font>
    <font>
      <b/>
      <sz val="14"/>
      <color rgb="FF1B335A"/>
      <name val="Malgun Gothic"/>
      <family val="2"/>
    </font>
    <font>
      <sz val="12"/>
      <color theme="1" tint="0.249977111117893"/>
      <name val="Malgun Gothic"/>
      <family val="2"/>
    </font>
    <font>
      <sz val="11"/>
      <color theme="3" tint="0.249977111117893"/>
      <name val="Malgun Gothic"/>
      <family val="2"/>
    </font>
    <font>
      <sz val="11"/>
      <color rgb="FF00B050"/>
      <name val="Malgun Gothic"/>
      <family val="2"/>
    </font>
    <font>
      <sz val="11.5"/>
      <color theme="0"/>
      <name val="Malgun Gothic"/>
      <family val="2"/>
    </font>
    <font>
      <i/>
      <sz val="10"/>
      <color theme="1" tint="0.14999847407452621"/>
      <name val="Malgun Gothic"/>
      <family val="2"/>
    </font>
    <font>
      <sz val="11.5"/>
      <color theme="4"/>
      <name val="Malgun Gothic"/>
      <family val="2"/>
    </font>
    <font>
      <b/>
      <sz val="10"/>
      <color theme="0"/>
      <name val="Malgun Gothic"/>
      <family val="2"/>
    </font>
    <font>
      <b/>
      <sz val="11.5"/>
      <color theme="0"/>
      <name val="Malgun Gothic"/>
      <family val="2"/>
    </font>
    <font>
      <b/>
      <sz val="11"/>
      <color rgb="FF1B335A"/>
      <name val="Malgun Gothic"/>
      <family val="2"/>
    </font>
    <font>
      <sz val="11"/>
      <color rgb="FF3595BA"/>
      <name val="Malgun Gothic"/>
      <family val="2"/>
    </font>
    <font>
      <sz val="12"/>
      <color rgb="FF3180B9"/>
      <name val="Malgun Gothic"/>
      <family val="2"/>
    </font>
    <font>
      <b/>
      <sz val="11"/>
      <color rgb="FF3180B9"/>
      <name val="Malgun Gothic"/>
      <family val="2"/>
    </font>
    <font>
      <sz val="11.5"/>
      <color theme="1" tint="0.14999847407452621"/>
      <name val="Malgun Gothic"/>
      <family val="2"/>
    </font>
    <font>
      <sz val="13"/>
      <color rgb="FF1B335A"/>
      <name val="Malgun Gothic"/>
      <family val="2"/>
    </font>
    <font>
      <b/>
      <sz val="12"/>
      <color theme="3" tint="0.249977111117893"/>
      <name val="Malgun Gothic"/>
      <family val="2"/>
    </font>
    <font>
      <sz val="12"/>
      <color rgb="FFA2B86C"/>
      <name val="Malgun Gothic"/>
      <family val="2"/>
    </font>
    <font>
      <sz val="11"/>
      <color rgb="FFA2B86C"/>
      <name val="Malgun Gothic"/>
      <family val="2"/>
    </font>
    <font>
      <b/>
      <sz val="12"/>
      <color rgb="FF38424C"/>
      <name val="Malgun Gothic"/>
      <family val="2"/>
    </font>
    <font>
      <sz val="12"/>
      <color rgb="FF38424C"/>
      <name val="Malgun Gothic"/>
      <family val="2"/>
    </font>
    <font>
      <sz val="12"/>
      <color rgb="FF2A897B"/>
      <name val="Malgun Gothic"/>
      <family val="2"/>
    </font>
    <font>
      <b/>
      <sz val="12"/>
      <color rgb="FF2A897B"/>
      <name val="Malgun Gothic"/>
      <family val="2"/>
    </font>
    <font>
      <sz val="12"/>
      <color theme="4" tint="-0.249977111117893"/>
      <name val="Malgun Gothic"/>
      <family val="2"/>
    </font>
    <font>
      <sz val="12"/>
      <color rgb="FF3595BA"/>
      <name val="Malgun Gothic"/>
      <family val="2"/>
    </font>
    <font>
      <sz val="12"/>
      <color rgb="FF3CACC2"/>
      <name val="Malgun Gothic"/>
      <family val="2"/>
    </font>
    <font>
      <sz val="11"/>
      <color rgb="FF3CACC2"/>
      <name val="Malgun Gothic"/>
      <family val="2"/>
    </font>
    <font>
      <b/>
      <sz val="11.5"/>
      <color theme="4"/>
      <name val="Malgun Gothic"/>
      <family val="2"/>
    </font>
    <font>
      <sz val="12"/>
      <color rgb="FF12355B"/>
      <name val="Malgun Gothic"/>
      <family val="2"/>
    </font>
    <font>
      <sz val="13"/>
      <color theme="1" tint="0.14999847407452621"/>
      <name val="Malgun Gothic"/>
      <family val="2"/>
    </font>
    <font>
      <b/>
      <sz val="13"/>
      <color theme="4"/>
      <name val="Malgun Gothic"/>
      <family val="2"/>
    </font>
    <font>
      <sz val="8"/>
      <name val="돋움"/>
      <family val="3"/>
      <charset val="129"/>
    </font>
    <font>
      <sz val="11"/>
      <color theme="1" tint="0.14999847407452621"/>
      <name val="Malgun Gothic"/>
      <family val="3"/>
      <charset val="129"/>
    </font>
    <font>
      <sz val="10"/>
      <color theme="1" tint="0.14999847407452621"/>
      <name val="Malgun Gothic"/>
      <family val="3"/>
      <charset val="129"/>
    </font>
    <font>
      <sz val="11"/>
      <color theme="4"/>
      <name val="Malgun Gothic"/>
      <family val="3"/>
      <charset val="129"/>
    </font>
    <font>
      <b/>
      <sz val="18"/>
      <color theme="1" tint="0.14999847407452621"/>
      <name val="Malgun Gothic"/>
      <family val="3"/>
      <charset val="129"/>
    </font>
    <font>
      <b/>
      <sz val="11"/>
      <color theme="1" tint="0.14999847407452621"/>
      <name val="Malgun Gothic"/>
      <family val="3"/>
      <charset val="129"/>
    </font>
    <font>
      <sz val="11.5"/>
      <color theme="4"/>
      <name val="Malgun Gothic"/>
      <family val="3"/>
      <charset val="129"/>
    </font>
    <font>
      <sz val="11.5"/>
      <color theme="1" tint="0.14999847407452621"/>
      <name val="Malgun Gothic"/>
      <family val="3"/>
      <charset val="129"/>
    </font>
    <font>
      <sz val="11"/>
      <color theme="0"/>
      <name val="Malgun Gothic"/>
      <family val="3"/>
      <charset val="129"/>
    </font>
  </fonts>
  <fills count="4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6F6F6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38424C"/>
        <bgColor indexed="64"/>
      </patternFill>
    </fill>
    <fill>
      <patternFill patternType="solid">
        <fgColor rgb="FF12355B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rgb="FFE2F0FD"/>
        <bgColor indexed="64"/>
      </patternFill>
    </fill>
    <fill>
      <patternFill patternType="solid">
        <fgColor rgb="FFC8F2FF"/>
        <bgColor indexed="64"/>
      </patternFill>
    </fill>
    <fill>
      <patternFill patternType="solid">
        <fgColor rgb="FF79DDFF"/>
        <bgColor indexed="64"/>
      </patternFill>
    </fill>
    <fill>
      <patternFill patternType="solid">
        <fgColor rgb="FF1B335A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medium">
        <color theme="4" tint="0.39994506668294322"/>
      </bottom>
      <diagonal/>
    </border>
    <border>
      <left/>
      <right/>
      <top/>
      <bottom style="medium">
        <color theme="4" tint="0.79998168889431442"/>
      </bottom>
      <diagonal/>
    </border>
    <border>
      <left style="thin">
        <color auto="1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0" fontId="16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2" fillId="4" borderId="1" applyNumberFormat="0" applyProtection="0">
      <alignment vertical="center"/>
    </xf>
    <xf numFmtId="0" fontId="10" fillId="2" borderId="2" applyNumberFormat="0" applyProtection="0">
      <alignment vertical="center"/>
    </xf>
    <xf numFmtId="177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8" fillId="17" borderId="0" applyNumberFormat="0" applyBorder="0" applyAlignment="0" applyProtection="0"/>
    <xf numFmtId="0" fontId="3" fillId="18" borderId="0" applyNumberFormat="0" applyBorder="0" applyAlignment="0" applyProtection="0"/>
    <xf numFmtId="0" fontId="14" fillId="19" borderId="0" applyNumberFormat="0" applyBorder="0" applyAlignment="0" applyProtection="0"/>
    <xf numFmtId="0" fontId="12" fillId="20" borderId="4" applyNumberFormat="0" applyAlignment="0" applyProtection="0"/>
    <xf numFmtId="0" fontId="15" fillId="21" borderId="5" applyNumberFormat="0" applyAlignment="0" applyProtection="0"/>
    <xf numFmtId="0" fontId="4" fillId="21" borderId="4" applyNumberFormat="0" applyAlignment="0" applyProtection="0"/>
    <xf numFmtId="0" fontId="13" fillId="0" borderId="6" applyNumberFormat="0" applyFill="0" applyAlignment="0" applyProtection="0"/>
    <xf numFmtId="0" fontId="5" fillId="22" borderId="7" applyNumberFormat="0" applyAlignment="0" applyProtection="0"/>
    <xf numFmtId="0" fontId="18" fillId="0" borderId="0" applyNumberFormat="0" applyFill="0" applyBorder="0" applyAlignment="0" applyProtection="0"/>
    <xf numFmtId="0" fontId="6" fillId="23" borderId="8" applyNumberFormat="0" applyFont="0" applyAlignment="0" applyProtection="0"/>
    <xf numFmtId="0" fontId="7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2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2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2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2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</cellStyleXfs>
  <cellXfs count="214">
    <xf numFmtId="0" fontId="0" fillId="0" borderId="0" xfId="0"/>
    <xf numFmtId="0" fontId="19" fillId="3" borderId="0" xfId="3" applyFont="1" applyFill="1" applyBorder="1" applyAlignment="1">
      <alignment horizontal="center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2" fillId="0" borderId="0" xfId="0" applyFont="1" applyFill="1" applyBorder="1" applyAlignment="1">
      <alignment wrapText="1"/>
    </xf>
    <xf numFmtId="0" fontId="23" fillId="0" borderId="0" xfId="0" applyFont="1" applyFill="1" applyBorder="1"/>
    <xf numFmtId="0" fontId="2" fillId="0" borderId="0" xfId="0" applyFont="1" applyAlignment="1">
      <alignment horizontal="left" vertical="center" wrapText="1"/>
    </xf>
    <xf numFmtId="0" fontId="24" fillId="11" borderId="0" xfId="0" applyFont="1" applyFill="1" applyBorder="1" applyAlignment="1">
      <alignment horizontal="left" vertical="center" indent="10"/>
    </xf>
    <xf numFmtId="0" fontId="25" fillId="11" borderId="0" xfId="0" applyFont="1" applyFill="1" applyBorder="1" applyAlignment="1">
      <alignment horizontal="left" vertical="center" indent="2"/>
    </xf>
    <xf numFmtId="0" fontId="26" fillId="11" borderId="0" xfId="1" applyFont="1" applyFill="1" applyBorder="1" applyAlignment="1">
      <alignment horizontal="left" vertical="center" indent="2"/>
    </xf>
    <xf numFmtId="0" fontId="23" fillId="0" borderId="0" xfId="0" applyFont="1" applyFill="1" applyBorder="1" applyAlignment="1">
      <alignment horizontal="left"/>
    </xf>
    <xf numFmtId="0" fontId="2" fillId="0" borderId="0" xfId="0" applyFont="1" applyBorder="1" applyAlignment="1">
      <alignment vertical="center" wrapText="1"/>
    </xf>
    <xf numFmtId="0" fontId="29" fillId="13" borderId="0" xfId="0" applyFont="1" applyFill="1" applyBorder="1" applyAlignment="1">
      <alignment horizontal="left" vertical="center" indent="10"/>
    </xf>
    <xf numFmtId="0" fontId="30" fillId="13" borderId="0" xfId="0" applyFont="1" applyFill="1" applyBorder="1" applyAlignment="1">
      <alignment horizontal="left" vertical="center" indent="2"/>
    </xf>
    <xf numFmtId="0" fontId="29" fillId="13" borderId="0" xfId="0" applyFont="1" applyFill="1" applyBorder="1" applyAlignment="1">
      <alignment horizontal="left" vertical="center" indent="2"/>
    </xf>
    <xf numFmtId="0" fontId="31" fillId="0" borderId="0" xfId="0" applyFont="1" applyFill="1" applyBorder="1" applyAlignment="1">
      <alignment horizontal="right" vertical="center"/>
    </xf>
    <xf numFmtId="0" fontId="2" fillId="10" borderId="0" xfId="0" applyFont="1" applyFill="1" applyBorder="1" applyAlignment="1">
      <alignment vertical="center" wrapText="1"/>
    </xf>
    <xf numFmtId="0" fontId="32" fillId="10" borderId="0" xfId="0" applyFont="1" applyFill="1" applyBorder="1" applyAlignment="1">
      <alignment horizontal="left" vertical="center" indent="10"/>
    </xf>
    <xf numFmtId="0" fontId="24" fillId="10" borderId="0" xfId="0" applyFont="1" applyFill="1" applyBorder="1" applyAlignment="1">
      <alignment horizontal="left" vertical="center" indent="2"/>
    </xf>
    <xf numFmtId="3" fontId="10" fillId="10" borderId="0" xfId="0" applyNumberFormat="1" applyFont="1" applyFill="1" applyBorder="1" applyAlignment="1">
      <alignment horizontal="left" vertical="center" indent="2"/>
    </xf>
    <xf numFmtId="0" fontId="10" fillId="10" borderId="0" xfId="0" applyFont="1" applyFill="1" applyBorder="1" applyAlignment="1">
      <alignment horizontal="left" indent="2"/>
    </xf>
    <xf numFmtId="3" fontId="33" fillId="10" borderId="0" xfId="0" applyNumberFormat="1" applyFont="1" applyFill="1" applyBorder="1" applyAlignment="1">
      <alignment horizontal="left" vertical="center" indent="2"/>
    </xf>
    <xf numFmtId="0" fontId="33" fillId="10" borderId="0" xfId="0" applyFont="1" applyFill="1" applyBorder="1" applyAlignment="1">
      <alignment horizontal="left" vertical="center" indent="2"/>
    </xf>
    <xf numFmtId="0" fontId="10" fillId="10" borderId="0" xfId="0" applyFont="1" applyFill="1" applyBorder="1"/>
    <xf numFmtId="0" fontId="34" fillId="15" borderId="0" xfId="2" applyFont="1" applyFill="1" applyBorder="1" applyAlignment="1">
      <alignment horizontal="left" vertical="center" indent="10"/>
    </xf>
    <xf numFmtId="0" fontId="35" fillId="15" borderId="0" xfId="0" applyFont="1" applyFill="1" applyBorder="1" applyAlignment="1">
      <alignment horizontal="left" vertical="center" indent="2"/>
    </xf>
    <xf numFmtId="9" fontId="34" fillId="15" borderId="0" xfId="0" applyNumberFormat="1" applyFont="1" applyFill="1" applyBorder="1" applyAlignment="1">
      <alignment horizontal="left" vertical="center" indent="2"/>
    </xf>
    <xf numFmtId="9" fontId="34" fillId="15" borderId="0" xfId="0" applyNumberFormat="1" applyFont="1" applyFill="1" applyBorder="1" applyAlignment="1">
      <alignment horizontal="left" indent="2"/>
    </xf>
    <xf numFmtId="0" fontId="10" fillId="0" borderId="0" xfId="0" applyFont="1" applyFill="1" applyBorder="1"/>
    <xf numFmtId="0" fontId="36" fillId="0" borderId="0" xfId="0" applyFont="1" applyFill="1" applyBorder="1" applyAlignment="1">
      <alignment wrapText="1"/>
    </xf>
    <xf numFmtId="0" fontId="37" fillId="8" borderId="0" xfId="0" applyFont="1" applyFill="1" applyBorder="1" applyAlignment="1">
      <alignment horizontal="left" vertical="center" indent="10"/>
    </xf>
    <xf numFmtId="0" fontId="38" fillId="8" borderId="0" xfId="0" applyFont="1" applyFill="1" applyBorder="1" applyAlignment="1">
      <alignment horizontal="left" vertical="center" indent="2"/>
    </xf>
    <xf numFmtId="0" fontId="39" fillId="9" borderId="0" xfId="0" applyFont="1" applyFill="1" applyBorder="1" applyAlignment="1">
      <alignment horizontal="left" indent="2"/>
    </xf>
    <xf numFmtId="0" fontId="40" fillId="0" borderId="0" xfId="0" applyFont="1" applyFill="1" applyBorder="1"/>
    <xf numFmtId="0" fontId="41" fillId="0" borderId="0" xfId="0" applyFont="1" applyFill="1" applyBorder="1" applyAlignment="1">
      <alignment wrapText="1"/>
    </xf>
    <xf numFmtId="0" fontId="37" fillId="7" borderId="0" xfId="0" applyFont="1" applyFill="1" applyBorder="1" applyAlignment="1">
      <alignment horizontal="left" vertical="center" indent="10"/>
    </xf>
    <xf numFmtId="0" fontId="38" fillId="7" borderId="0" xfId="0" applyFont="1" applyFill="1" applyBorder="1" applyAlignment="1">
      <alignment horizontal="left" vertical="center" indent="2"/>
    </xf>
    <xf numFmtId="0" fontId="31" fillId="0" borderId="0" xfId="0" applyFont="1" applyFill="1" applyBorder="1"/>
    <xf numFmtId="10" fontId="38" fillId="8" borderId="0" xfId="0" applyNumberFormat="1" applyFont="1" applyFill="1" applyBorder="1" applyAlignment="1">
      <alignment horizontal="left" vertical="center" indent="2"/>
    </xf>
    <xf numFmtId="0" fontId="43" fillId="7" borderId="0" xfId="0" applyFont="1" applyFill="1" applyBorder="1" applyAlignment="1">
      <alignment horizontal="left" vertical="center" indent="10"/>
    </xf>
    <xf numFmtId="0" fontId="34" fillId="7" borderId="0" xfId="0" applyFont="1" applyFill="1" applyBorder="1" applyAlignment="1">
      <alignment horizontal="left" vertical="center" indent="2"/>
    </xf>
    <xf numFmtId="0" fontId="46" fillId="7" borderId="0" xfId="0" applyFont="1" applyFill="1" applyBorder="1" applyAlignment="1">
      <alignment horizontal="left" vertical="center" indent="2"/>
    </xf>
    <xf numFmtId="0" fontId="5" fillId="0" borderId="0" xfId="0" applyFont="1" applyAlignment="1">
      <alignment vertical="center" wrapText="1"/>
    </xf>
    <xf numFmtId="0" fontId="25" fillId="11" borderId="0" xfId="0" applyFont="1" applyFill="1" applyBorder="1" applyAlignment="1">
      <alignment horizontal="left" vertical="center" indent="10"/>
    </xf>
    <xf numFmtId="9" fontId="25" fillId="11" borderId="0" xfId="0" applyNumberFormat="1" applyFont="1" applyFill="1" applyBorder="1" applyAlignment="1">
      <alignment horizontal="left" vertical="center" indent="2"/>
    </xf>
    <xf numFmtId="0" fontId="47" fillId="0" borderId="0" xfId="0" applyFont="1" applyFill="1" applyBorder="1" applyAlignment="1"/>
    <xf numFmtId="0" fontId="43" fillId="15" borderId="0" xfId="2" applyFont="1" applyFill="1" applyBorder="1" applyAlignment="1">
      <alignment horizontal="left" vertical="center" indent="10"/>
    </xf>
    <xf numFmtId="0" fontId="48" fillId="15" borderId="0" xfId="0" applyFont="1" applyFill="1" applyBorder="1" applyAlignment="1">
      <alignment horizontal="left" vertical="center" indent="2"/>
    </xf>
    <xf numFmtId="9" fontId="43" fillId="15" borderId="0" xfId="0" applyNumberFormat="1" applyFont="1" applyFill="1" applyBorder="1" applyAlignment="1">
      <alignment horizontal="left" vertical="center" indent="2"/>
    </xf>
    <xf numFmtId="0" fontId="43" fillId="15" borderId="0" xfId="0" applyFont="1" applyFill="1" applyBorder="1" applyAlignment="1">
      <alignment horizontal="left" vertical="center" indent="2"/>
    </xf>
    <xf numFmtId="0" fontId="37" fillId="6" borderId="0" xfId="0" applyFont="1" applyFill="1" applyBorder="1" applyAlignment="1">
      <alignment horizontal="left" vertical="center" indent="10"/>
    </xf>
    <xf numFmtId="0" fontId="38" fillId="6" borderId="0" xfId="0" applyFont="1" applyFill="1" applyBorder="1" applyAlignment="1">
      <alignment horizontal="left" vertical="center" indent="2"/>
    </xf>
    <xf numFmtId="9" fontId="38" fillId="6" borderId="0" xfId="0" applyNumberFormat="1" applyFont="1" applyFill="1" applyBorder="1" applyAlignment="1">
      <alignment horizontal="left" vertical="center" indent="2"/>
    </xf>
    <xf numFmtId="0" fontId="50" fillId="6" borderId="0" xfId="0" applyFont="1" applyFill="1" applyBorder="1" applyAlignment="1">
      <alignment horizontal="left" vertical="center" indent="2"/>
    </xf>
    <xf numFmtId="0" fontId="50" fillId="8" borderId="0" xfId="0" applyFont="1" applyFill="1" applyBorder="1" applyAlignment="1">
      <alignment horizontal="left" vertical="center" indent="2"/>
    </xf>
    <xf numFmtId="0" fontId="53" fillId="0" borderId="0" xfId="0" applyFont="1" applyFill="1" applyBorder="1" applyAlignment="1">
      <alignment wrapText="1"/>
    </xf>
    <xf numFmtId="0" fontId="43" fillId="8" borderId="0" xfId="0" applyFont="1" applyFill="1" applyBorder="1" applyAlignment="1">
      <alignment horizontal="left" vertical="center" indent="10"/>
    </xf>
    <xf numFmtId="0" fontId="34" fillId="8" borderId="0" xfId="0" applyFont="1" applyFill="1" applyBorder="1" applyAlignment="1">
      <alignment horizontal="left" vertical="center" indent="2"/>
    </xf>
    <xf numFmtId="0" fontId="44" fillId="8" borderId="0" xfId="0" applyFont="1" applyFill="1" applyBorder="1" applyAlignment="1">
      <alignment horizontal="left" indent="2"/>
    </xf>
    <xf numFmtId="0" fontId="54" fillId="8" borderId="0" xfId="0" applyFont="1" applyFill="1" applyBorder="1" applyAlignment="1">
      <alignment horizontal="left" indent="2"/>
    </xf>
    <xf numFmtId="0" fontId="55" fillId="0" borderId="0" xfId="0" applyFont="1" applyFill="1" applyBorder="1" applyAlignment="1"/>
    <xf numFmtId="0" fontId="2" fillId="0" borderId="0" xfId="0" applyFont="1" applyAlignment="1">
      <alignment vertical="center" wrapText="1"/>
    </xf>
    <xf numFmtId="0" fontId="56" fillId="11" borderId="0" xfId="0" applyFont="1" applyFill="1" applyBorder="1" applyAlignment="1">
      <alignment horizontal="left" vertical="center" indent="2"/>
    </xf>
    <xf numFmtId="0" fontId="43" fillId="15" borderId="0" xfId="0" applyFont="1" applyFill="1" applyBorder="1" applyAlignment="1">
      <alignment horizontal="left" vertical="center" indent="10"/>
    </xf>
    <xf numFmtId="0" fontId="34" fillId="15" borderId="0" xfId="0" applyFont="1" applyFill="1" applyBorder="1" applyAlignment="1">
      <alignment horizontal="left" vertical="center" indent="2"/>
    </xf>
    <xf numFmtId="0" fontId="43" fillId="6" borderId="0" xfId="0" applyFont="1" applyFill="1" applyBorder="1" applyAlignment="1">
      <alignment horizontal="left" vertical="center" indent="10"/>
    </xf>
    <xf numFmtId="0" fontId="34" fillId="6" borderId="0" xfId="0" applyFont="1" applyFill="1" applyBorder="1" applyAlignment="1">
      <alignment horizontal="left" vertical="center" indent="2"/>
    </xf>
    <xf numFmtId="0" fontId="60" fillId="6" borderId="0" xfId="0" applyFont="1" applyFill="1" applyBorder="1" applyAlignment="1">
      <alignment horizontal="left" indent="2"/>
    </xf>
    <xf numFmtId="0" fontId="23" fillId="6" borderId="0" xfId="0" applyFont="1" applyFill="1" applyBorder="1" applyAlignment="1">
      <alignment horizontal="left" indent="2"/>
    </xf>
    <xf numFmtId="0" fontId="51" fillId="6" borderId="0" xfId="0" applyFont="1" applyFill="1" applyBorder="1" applyAlignment="1">
      <alignment horizontal="left" vertical="center" indent="2"/>
    </xf>
    <xf numFmtId="0" fontId="51" fillId="8" borderId="0" xfId="0" applyFont="1" applyFill="1" applyBorder="1" applyAlignment="1">
      <alignment horizontal="left" vertical="center" indent="2"/>
    </xf>
    <xf numFmtId="0" fontId="62" fillId="0" borderId="0" xfId="0" applyFont="1" applyFill="1" applyBorder="1" applyAlignment="1"/>
    <xf numFmtId="0" fontId="43" fillId="6" borderId="0" xfId="3" applyFont="1" applyFill="1" applyBorder="1" applyAlignment="1">
      <alignment horizontal="left" vertical="center" indent="10"/>
    </xf>
    <xf numFmtId="0" fontId="58" fillId="6" borderId="0" xfId="3" applyFont="1" applyFill="1" applyBorder="1" applyAlignment="1">
      <alignment horizontal="left" vertical="center" indent="2"/>
    </xf>
    <xf numFmtId="0" fontId="34" fillId="6" borderId="0" xfId="0" applyFont="1" applyFill="1" applyBorder="1" applyAlignment="1">
      <alignment horizontal="left" indent="2"/>
    </xf>
    <xf numFmtId="0" fontId="27" fillId="11" borderId="0" xfId="0" applyFont="1" applyFill="1" applyBorder="1" applyAlignment="1">
      <alignment horizontal="left" vertical="center" indent="10"/>
    </xf>
    <xf numFmtId="0" fontId="27" fillId="11" borderId="0" xfId="0" applyFont="1" applyFill="1" applyBorder="1" applyAlignment="1">
      <alignment horizontal="left" vertical="center" indent="2"/>
    </xf>
    <xf numFmtId="4" fontId="27" fillId="11" borderId="0" xfId="0" applyNumberFormat="1" applyFont="1" applyFill="1" applyBorder="1" applyAlignment="1">
      <alignment horizontal="left" vertical="center" indent="2"/>
    </xf>
    <xf numFmtId="9" fontId="64" fillId="8" borderId="0" xfId="0" applyNumberFormat="1" applyFont="1" applyFill="1" applyBorder="1" applyAlignment="1">
      <alignment horizontal="left" vertical="center" indent="2"/>
    </xf>
    <xf numFmtId="10" fontId="38" fillId="6" borderId="0" xfId="0" applyNumberFormat="1" applyFont="1" applyFill="1" applyBorder="1" applyAlignment="1">
      <alignment horizontal="left" vertical="center" indent="2"/>
    </xf>
    <xf numFmtId="0" fontId="34" fillId="8" borderId="3" xfId="0" applyFont="1" applyFill="1" applyBorder="1" applyAlignment="1">
      <alignment horizontal="left" vertical="center" indent="2"/>
    </xf>
    <xf numFmtId="0" fontId="44" fillId="8" borderId="0" xfId="0" applyFont="1" applyFill="1" applyBorder="1" applyAlignment="1">
      <alignment horizontal="left" vertical="center" indent="2"/>
    </xf>
    <xf numFmtId="0" fontId="65" fillId="8" borderId="0" xfId="0" applyFont="1" applyFill="1" applyBorder="1" applyAlignment="1">
      <alignment horizontal="left" vertical="center" indent="2"/>
    </xf>
    <xf numFmtId="0" fontId="66" fillId="8" borderId="0" xfId="0" applyFont="1" applyFill="1" applyBorder="1" applyAlignment="1">
      <alignment horizontal="left" vertical="center" indent="2"/>
    </xf>
    <xf numFmtId="0" fontId="43" fillId="12" borderId="0" xfId="0" applyFont="1" applyFill="1" applyBorder="1" applyAlignment="1">
      <alignment horizontal="left" vertical="center" indent="10"/>
    </xf>
    <xf numFmtId="0" fontId="34" fillId="12" borderId="0" xfId="0" applyFont="1" applyFill="1" applyBorder="1" applyAlignment="1">
      <alignment horizontal="left" vertical="center" indent="2"/>
    </xf>
    <xf numFmtId="0" fontId="65" fillId="12" borderId="0" xfId="0" applyFont="1" applyFill="1" applyBorder="1" applyAlignment="1">
      <alignment horizontal="left" vertical="center" indent="2"/>
    </xf>
    <xf numFmtId="0" fontId="38" fillId="12" borderId="0" xfId="0" applyFont="1" applyFill="1" applyBorder="1" applyAlignment="1">
      <alignment horizontal="left" vertical="center" indent="2"/>
    </xf>
    <xf numFmtId="9" fontId="64" fillId="6" borderId="0" xfId="0" applyNumberFormat="1" applyFont="1" applyFill="1" applyBorder="1" applyAlignment="1">
      <alignment horizontal="left" vertical="center" indent="2"/>
    </xf>
    <xf numFmtId="9" fontId="27" fillId="11" borderId="0" xfId="0" applyNumberFormat="1" applyFont="1" applyFill="1" applyBorder="1" applyAlignment="1">
      <alignment horizontal="left" indent="2"/>
    </xf>
    <xf numFmtId="0" fontId="63" fillId="15" borderId="0" xfId="2" applyFont="1" applyFill="1" applyBorder="1" applyAlignment="1">
      <alignment horizontal="left" vertical="center" indent="2"/>
    </xf>
    <xf numFmtId="0" fontId="63" fillId="15" borderId="0" xfId="0" applyFont="1" applyFill="1" applyBorder="1" applyAlignment="1">
      <alignment horizontal="left" vertical="center" indent="2"/>
    </xf>
    <xf numFmtId="0" fontId="58" fillId="8" borderId="0" xfId="0" applyFont="1" applyFill="1" applyBorder="1" applyAlignment="1">
      <alignment horizontal="left" vertical="center" indent="2"/>
    </xf>
    <xf numFmtId="0" fontId="27" fillId="11" borderId="0" xfId="0" applyFont="1" applyFill="1" applyBorder="1" applyAlignment="1">
      <alignment horizontal="left" indent="2"/>
    </xf>
    <xf numFmtId="0" fontId="62" fillId="0" borderId="0" xfId="0" applyFont="1" applyFill="1" applyBorder="1"/>
    <xf numFmtId="0" fontId="73" fillId="8" borderId="0" xfId="0" applyFont="1" applyFill="1" applyBorder="1" applyAlignment="1">
      <alignment horizontal="left" vertical="center" indent="2"/>
    </xf>
    <xf numFmtId="0" fontId="74" fillId="8" borderId="0" xfId="0" applyFont="1" applyFill="1" applyBorder="1" applyAlignment="1">
      <alignment horizontal="left" indent="2"/>
    </xf>
    <xf numFmtId="0" fontId="23" fillId="0" borderId="0" xfId="0" applyFont="1" applyFill="1" applyBorder="1" applyAlignment="1">
      <alignment horizontal="left" indent="10"/>
    </xf>
    <xf numFmtId="0" fontId="23" fillId="0" borderId="0" xfId="0" applyFont="1" applyFill="1" applyBorder="1" applyAlignment="1">
      <alignment horizontal="left" indent="2"/>
    </xf>
    <xf numFmtId="2" fontId="23" fillId="0" borderId="0" xfId="0" applyNumberFormat="1" applyFont="1" applyFill="1" applyBorder="1" applyAlignment="1">
      <alignment horizontal="left" indent="2"/>
    </xf>
    <xf numFmtId="0" fontId="23" fillId="9" borderId="0" xfId="0" applyFont="1" applyFill="1" applyBorder="1" applyAlignment="1">
      <alignment horizontal="left" indent="2"/>
    </xf>
    <xf numFmtId="4" fontId="75" fillId="5" borderId="3" xfId="0" applyNumberFormat="1" applyFont="1" applyFill="1" applyBorder="1" applyAlignment="1">
      <alignment horizontal="left" indent="2"/>
    </xf>
    <xf numFmtId="0" fontId="76" fillId="13" borderId="0" xfId="0" applyFont="1" applyFill="1" applyBorder="1" applyAlignment="1">
      <alignment horizontal="left" vertical="center" indent="2"/>
    </xf>
    <xf numFmtId="0" fontId="77" fillId="13" borderId="0" xfId="0" applyFont="1" applyFill="1" applyBorder="1" applyAlignment="1">
      <alignment horizontal="left" indent="2"/>
    </xf>
    <xf numFmtId="0" fontId="23" fillId="13" borderId="0" xfId="0" applyFont="1" applyFill="1" applyBorder="1" applyAlignment="1">
      <alignment horizontal="left" indent="2"/>
    </xf>
    <xf numFmtId="0" fontId="80" fillId="0" borderId="0" xfId="0" applyFont="1" applyFill="1" applyBorder="1"/>
    <xf numFmtId="0" fontId="80" fillId="0" borderId="0" xfId="0" applyFont="1" applyFill="1" applyBorder="1" applyAlignment="1">
      <alignment horizontal="left"/>
    </xf>
    <xf numFmtId="0" fontId="81" fillId="0" borderId="0" xfId="0" applyFont="1" applyFill="1" applyBorder="1"/>
    <xf numFmtId="0" fontId="82" fillId="10" borderId="0" xfId="0" applyFont="1" applyFill="1" applyBorder="1"/>
    <xf numFmtId="0" fontId="82" fillId="0" borderId="0" xfId="0" applyFont="1" applyFill="1" applyBorder="1"/>
    <xf numFmtId="0" fontId="83" fillId="0" borderId="0" xfId="0" applyFont="1" applyFill="1" applyBorder="1"/>
    <xf numFmtId="0" fontId="84" fillId="0" borderId="0" xfId="0" applyFont="1" applyFill="1" applyBorder="1" applyAlignment="1"/>
    <xf numFmtId="0" fontId="85" fillId="0" borderId="0" xfId="0" applyFont="1" applyFill="1" applyBorder="1" applyAlignment="1"/>
    <xf numFmtId="0" fontId="86" fillId="0" borderId="0" xfId="0" applyFont="1" applyFill="1" applyBorder="1" applyAlignment="1"/>
    <xf numFmtId="0" fontId="86" fillId="0" borderId="0" xfId="0" applyFont="1" applyFill="1" applyBorder="1"/>
    <xf numFmtId="0" fontId="87" fillId="0" borderId="0" xfId="0" applyFont="1" applyFill="1" applyBorder="1" applyAlignment="1">
      <alignment wrapText="1"/>
    </xf>
    <xf numFmtId="0" fontId="80" fillId="0" borderId="0" xfId="0" applyFont="1" applyFill="1" applyBorder="1" applyAlignment="1">
      <alignment horizontal="left" indent="10"/>
    </xf>
    <xf numFmtId="0" fontId="80" fillId="0" borderId="0" xfId="0" applyFont="1" applyFill="1" applyBorder="1" applyAlignment="1">
      <alignment horizontal="left" indent="2"/>
    </xf>
    <xf numFmtId="178" fontId="29" fillId="13" borderId="0" xfId="0" applyNumberFormat="1" applyFont="1" applyFill="1" applyBorder="1" applyAlignment="1">
      <alignment horizontal="left" vertical="center" indent="2"/>
    </xf>
    <xf numFmtId="179" fontId="38" fillId="7" borderId="0" xfId="0" applyNumberFormat="1" applyFont="1" applyFill="1" applyBorder="1" applyAlignment="1">
      <alignment horizontal="left" vertical="center" indent="2"/>
    </xf>
    <xf numFmtId="179" fontId="38" fillId="8" borderId="0" xfId="0" applyNumberFormat="1" applyFont="1" applyFill="1" applyBorder="1" applyAlignment="1">
      <alignment horizontal="left" vertical="center" indent="2"/>
    </xf>
    <xf numFmtId="179" fontId="39" fillId="9" borderId="0" xfId="0" applyNumberFormat="1" applyFont="1" applyFill="1" applyBorder="1" applyAlignment="1">
      <alignment horizontal="left" indent="2"/>
    </xf>
    <xf numFmtId="179" fontId="34" fillId="7" borderId="3" xfId="0" applyNumberFormat="1" applyFont="1" applyFill="1" applyBorder="1" applyAlignment="1">
      <alignment horizontal="left" vertical="center" indent="2"/>
    </xf>
    <xf numFmtId="179" fontId="42" fillId="7" borderId="0" xfId="0" applyNumberFormat="1" applyFont="1" applyFill="1" applyBorder="1" applyAlignment="1">
      <alignment horizontal="left" vertical="center" indent="2"/>
    </xf>
    <xf numFmtId="179" fontId="34" fillId="8" borderId="3" xfId="0" applyNumberFormat="1" applyFont="1" applyFill="1" applyBorder="1" applyAlignment="1">
      <alignment horizontal="left" vertical="center" indent="2"/>
    </xf>
    <xf numFmtId="179" fontId="42" fillId="8" borderId="0" xfId="0" applyNumberFormat="1" applyFont="1" applyFill="1" applyBorder="1" applyAlignment="1">
      <alignment horizontal="left" vertical="center" indent="2"/>
    </xf>
    <xf numFmtId="179" fontId="44" fillId="7" borderId="0" xfId="0" applyNumberFormat="1" applyFont="1" applyFill="1" applyBorder="1" applyAlignment="1">
      <alignment horizontal="left" indent="2"/>
    </xf>
    <xf numFmtId="179" fontId="34" fillId="7" borderId="0" xfId="0" applyNumberFormat="1" applyFont="1" applyFill="1" applyBorder="1" applyAlignment="1">
      <alignment horizontal="left" vertical="center" indent="2"/>
    </xf>
    <xf numFmtId="179" fontId="43" fillId="15" borderId="3" xfId="0" applyNumberFormat="1" applyFont="1" applyFill="1" applyBorder="1" applyAlignment="1">
      <alignment horizontal="left" vertical="center" indent="2"/>
    </xf>
    <xf numFmtId="179" fontId="43" fillId="15" borderId="0" xfId="0" applyNumberFormat="1" applyFont="1" applyFill="1" applyBorder="1" applyAlignment="1">
      <alignment horizontal="left" vertical="center" indent="2"/>
    </xf>
    <xf numFmtId="179" fontId="49" fillId="15" borderId="0" xfId="0" applyNumberFormat="1" applyFont="1" applyFill="1" applyBorder="1" applyAlignment="1">
      <alignment horizontal="left" vertical="center" indent="2"/>
    </xf>
    <xf numFmtId="179" fontId="38" fillId="6" borderId="3" xfId="0" applyNumberFormat="1" applyFont="1" applyFill="1" applyBorder="1" applyAlignment="1">
      <alignment horizontal="left" vertical="center" indent="2"/>
    </xf>
    <xf numFmtId="179" fontId="51" fillId="6" borderId="0" xfId="0" applyNumberFormat="1" applyFont="1" applyFill="1" applyBorder="1" applyAlignment="1">
      <alignment horizontal="left" vertical="center" indent="2"/>
    </xf>
    <xf numFmtId="179" fontId="52" fillId="8" borderId="0" xfId="0" applyNumberFormat="1" applyFont="1" applyFill="1" applyBorder="1" applyAlignment="1">
      <alignment horizontal="left" vertical="center" indent="2"/>
    </xf>
    <xf numFmtId="179" fontId="34" fillId="6" borderId="3" xfId="0" applyNumberFormat="1" applyFont="1" applyFill="1" applyBorder="1" applyAlignment="1">
      <alignment horizontal="left" vertical="center" indent="2"/>
    </xf>
    <xf numFmtId="179" fontId="52" fillId="6" borderId="0" xfId="0" applyNumberFormat="1" applyFont="1" applyFill="1" applyBorder="1" applyAlignment="1">
      <alignment horizontal="left" vertical="center" indent="2"/>
    </xf>
    <xf numFmtId="179" fontId="50" fillId="6" borderId="0" xfId="0" applyNumberFormat="1" applyFont="1" applyFill="1" applyBorder="1" applyAlignment="1">
      <alignment horizontal="left" vertical="center" indent="2"/>
    </xf>
    <xf numFmtId="179" fontId="45" fillId="7" borderId="0" xfId="0" applyNumberFormat="1" applyFont="1" applyFill="1" applyBorder="1" applyAlignment="1">
      <alignment horizontal="left" vertical="center" indent="2"/>
    </xf>
    <xf numFmtId="179" fontId="34" fillId="8" borderId="0" xfId="0" applyNumberFormat="1" applyFont="1" applyFill="1" applyBorder="1" applyAlignment="1">
      <alignment horizontal="left" vertical="center" indent="2"/>
    </xf>
    <xf numFmtId="179" fontId="31" fillId="8" borderId="0" xfId="0" applyNumberFormat="1" applyFont="1" applyFill="1" applyBorder="1" applyAlignment="1">
      <alignment horizontal="left" indent="2"/>
    </xf>
    <xf numFmtId="179" fontId="58" fillId="15" borderId="3" xfId="0" applyNumberFormat="1" applyFont="1" applyFill="1" applyBorder="1" applyAlignment="1">
      <alignment horizontal="left" vertical="center" indent="2"/>
    </xf>
    <xf numFmtId="179" fontId="34" fillId="15" borderId="0" xfId="0" applyNumberFormat="1" applyFont="1" applyFill="1" applyBorder="1" applyAlignment="1">
      <alignment horizontal="left" vertical="center" indent="2"/>
    </xf>
    <xf numFmtId="179" fontId="44" fillId="8" borderId="3" xfId="0" applyNumberFormat="1" applyFont="1" applyFill="1" applyBorder="1" applyAlignment="1">
      <alignment horizontal="left" vertical="center" indent="2"/>
    </xf>
    <xf numFmtId="179" fontId="59" fillId="8" borderId="0" xfId="0" applyNumberFormat="1" applyFont="1" applyFill="1" applyBorder="1" applyAlignment="1">
      <alignment horizontal="left" vertical="center" indent="2"/>
    </xf>
    <xf numFmtId="179" fontId="44" fillId="6" borderId="3" xfId="0" applyNumberFormat="1" applyFont="1" applyFill="1" applyBorder="1" applyAlignment="1">
      <alignment horizontal="left" vertical="center" indent="2"/>
    </xf>
    <xf numFmtId="179" fontId="59" fillId="6" borderId="0" xfId="0" applyNumberFormat="1" applyFont="1" applyFill="1" applyBorder="1" applyAlignment="1">
      <alignment horizontal="left" vertical="center" indent="2"/>
    </xf>
    <xf numFmtId="179" fontId="61" fillId="6" borderId="0" xfId="0" applyNumberFormat="1" applyFont="1" applyFill="1" applyBorder="1" applyAlignment="1">
      <alignment horizontal="left" vertical="center" indent="2"/>
    </xf>
    <xf numFmtId="179" fontId="38" fillId="6" borderId="0" xfId="0" applyNumberFormat="1" applyFont="1" applyFill="1" applyBorder="1" applyAlignment="1">
      <alignment horizontal="left" vertical="center" indent="2"/>
    </xf>
    <xf numFmtId="179" fontId="34" fillId="6" borderId="0" xfId="0" applyNumberFormat="1" applyFont="1" applyFill="1" applyBorder="1" applyAlignment="1">
      <alignment horizontal="left" vertical="center" indent="2"/>
    </xf>
    <xf numFmtId="179" fontId="34" fillId="6" borderId="0" xfId="3" applyNumberFormat="1" applyFont="1" applyFill="1" applyBorder="1" applyAlignment="1">
      <alignment horizontal="left" vertical="center" indent="2"/>
    </xf>
    <xf numFmtId="179" fontId="42" fillId="6" borderId="0" xfId="0" applyNumberFormat="1" applyFont="1" applyFill="1" applyBorder="1" applyAlignment="1">
      <alignment horizontal="left" indent="2"/>
    </xf>
    <xf numFmtId="179" fontId="63" fillId="15" borderId="0" xfId="0" applyNumberFormat="1" applyFont="1" applyFill="1" applyBorder="1" applyAlignment="1">
      <alignment horizontal="left" vertical="center" indent="2"/>
    </xf>
    <xf numFmtId="179" fontId="44" fillId="8" borderId="0" xfId="0" applyNumberFormat="1" applyFont="1" applyFill="1" applyBorder="1" applyAlignment="1">
      <alignment horizontal="left" vertical="center" indent="2"/>
    </xf>
    <xf numFmtId="179" fontId="44" fillId="6" borderId="0" xfId="0" applyNumberFormat="1" applyFont="1" applyFill="1" applyBorder="1" applyAlignment="1">
      <alignment horizontal="left" vertical="center" indent="2"/>
    </xf>
    <xf numFmtId="179" fontId="65" fillId="6" borderId="0" xfId="0" applyNumberFormat="1" applyFont="1" applyFill="1" applyBorder="1" applyAlignment="1">
      <alignment horizontal="left" vertical="center" indent="2"/>
    </xf>
    <xf numFmtId="179" fontId="66" fillId="6" borderId="0" xfId="0" applyNumberFormat="1" applyFont="1" applyFill="1" applyBorder="1" applyAlignment="1">
      <alignment horizontal="left" vertical="center" indent="2"/>
    </xf>
    <xf numFmtId="179" fontId="65" fillId="8" borderId="0" xfId="0" applyNumberFormat="1" applyFont="1" applyFill="1" applyBorder="1" applyAlignment="1">
      <alignment horizontal="left" vertical="center" indent="2"/>
    </xf>
    <xf numFmtId="179" fontId="66" fillId="8" borderId="0" xfId="0" applyNumberFormat="1" applyFont="1" applyFill="1" applyBorder="1" applyAlignment="1">
      <alignment horizontal="left" vertical="center" indent="2"/>
    </xf>
    <xf numFmtId="179" fontId="34" fillId="12" borderId="0" xfId="0" applyNumberFormat="1" applyFont="1" applyFill="1" applyBorder="1" applyAlignment="1">
      <alignment horizontal="left" vertical="center" indent="2"/>
    </xf>
    <xf numFmtId="179" fontId="43" fillId="15" borderId="3" xfId="0" applyNumberFormat="1" applyFont="1" applyFill="1" applyBorder="1" applyAlignment="1">
      <alignment horizontal="left" indent="2"/>
    </xf>
    <xf numFmtId="179" fontId="43" fillId="15" borderId="0" xfId="0" applyNumberFormat="1" applyFont="1" applyFill="1" applyBorder="1" applyAlignment="1">
      <alignment horizontal="left" indent="2"/>
    </xf>
    <xf numFmtId="179" fontId="67" fillId="6" borderId="3" xfId="0" applyNumberFormat="1" applyFont="1" applyFill="1" applyBorder="1" applyAlignment="1">
      <alignment horizontal="left" vertical="center" indent="2"/>
    </xf>
    <xf numFmtId="179" fontId="67" fillId="6" borderId="0" xfId="0" applyNumberFormat="1" applyFont="1" applyFill="1" applyBorder="1" applyAlignment="1">
      <alignment horizontal="left" vertical="center" indent="2"/>
    </xf>
    <xf numFmtId="179" fontId="68" fillId="8" borderId="0" xfId="0" applyNumberFormat="1" applyFont="1" applyFill="1" applyBorder="1" applyAlignment="1">
      <alignment horizontal="left" vertical="center" indent="2"/>
    </xf>
    <xf numFmtId="179" fontId="68" fillId="6" borderId="0" xfId="0" applyNumberFormat="1" applyFont="1" applyFill="1" applyBorder="1" applyAlignment="1">
      <alignment horizontal="left" vertical="center" indent="2"/>
    </xf>
    <xf numFmtId="179" fontId="64" fillId="6" borderId="0" xfId="0" applyNumberFormat="1" applyFont="1" applyFill="1" applyBorder="1" applyAlignment="1">
      <alignment horizontal="left" vertical="center" indent="2"/>
    </xf>
    <xf numFmtId="179" fontId="63" fillId="15" borderId="0" xfId="0" applyNumberFormat="1" applyFont="1" applyFill="1" applyBorder="1" applyAlignment="1">
      <alignment horizontal="left" indent="2"/>
    </xf>
    <xf numFmtId="179" fontId="69" fillId="6" borderId="0" xfId="0" applyNumberFormat="1" applyFont="1" applyFill="1" applyBorder="1" applyAlignment="1">
      <alignment horizontal="left" vertical="center" indent="2"/>
    </xf>
    <xf numFmtId="179" fontId="69" fillId="8" borderId="0" xfId="0" applyNumberFormat="1" applyFont="1" applyFill="1" applyBorder="1" applyAlignment="1">
      <alignment horizontal="left" vertical="center" indent="2"/>
    </xf>
    <xf numFmtId="179" fontId="70" fillId="8" borderId="0" xfId="0" applyNumberFormat="1" applyFont="1" applyFill="1" applyBorder="1" applyAlignment="1">
      <alignment horizontal="left" vertical="center" indent="2"/>
    </xf>
    <xf numFmtId="179" fontId="72" fillId="6" borderId="0" xfId="0" applyNumberFormat="1" applyFont="1" applyFill="1" applyBorder="1" applyAlignment="1">
      <alignment horizontal="left" vertical="center" indent="2"/>
    </xf>
    <xf numFmtId="179" fontId="72" fillId="8" borderId="0" xfId="0" applyNumberFormat="1" applyFont="1" applyFill="1" applyBorder="1" applyAlignment="1">
      <alignment horizontal="left" vertical="center" indent="2"/>
    </xf>
    <xf numFmtId="179" fontId="78" fillId="13" borderId="3" xfId="0" applyNumberFormat="1" applyFont="1" applyFill="1" applyBorder="1" applyAlignment="1">
      <alignment horizontal="center" vertical="center"/>
    </xf>
    <xf numFmtId="179" fontId="78" fillId="13" borderId="0" xfId="0" applyNumberFormat="1" applyFont="1" applyFill="1" applyBorder="1" applyAlignment="1">
      <alignment horizontal="center" vertical="center"/>
    </xf>
    <xf numFmtId="179" fontId="29" fillId="13" borderId="0" xfId="0" applyNumberFormat="1" applyFont="1" applyFill="1" applyBorder="1" applyAlignment="1">
      <alignment horizontal="center" vertical="center"/>
    </xf>
    <xf numFmtId="179" fontId="27" fillId="11" borderId="3" xfId="0" applyNumberFormat="1" applyFont="1" applyFill="1" applyBorder="1" applyAlignment="1">
      <alignment horizontal="left" indent="2"/>
    </xf>
    <xf numFmtId="179" fontId="27" fillId="11" borderId="0" xfId="0" applyNumberFormat="1" applyFont="1" applyFill="1" applyBorder="1" applyAlignment="1">
      <alignment horizontal="left" indent="2"/>
    </xf>
    <xf numFmtId="179" fontId="27" fillId="11" borderId="3" xfId="0" applyNumberFormat="1" applyFont="1" applyFill="1" applyBorder="1" applyAlignment="1">
      <alignment horizontal="left" vertical="center" indent="2"/>
    </xf>
    <xf numFmtId="179" fontId="27" fillId="11" borderId="0" xfId="0" applyNumberFormat="1" applyFont="1" applyFill="1" applyBorder="1" applyAlignment="1">
      <alignment horizontal="left" vertical="center" indent="2"/>
    </xf>
    <xf numFmtId="179" fontId="25" fillId="11" borderId="3" xfId="0" applyNumberFormat="1" applyFont="1" applyFill="1" applyBorder="1" applyAlignment="1">
      <alignment horizontal="left" vertical="center" indent="2"/>
    </xf>
    <xf numFmtId="179" fontId="25" fillId="11" borderId="0" xfId="0" applyNumberFormat="1" applyFont="1" applyFill="1" applyBorder="1" applyAlignment="1">
      <alignment horizontal="left" vertical="center" indent="2"/>
    </xf>
    <xf numFmtId="179" fontId="57" fillId="11" borderId="3" xfId="0" applyNumberFormat="1" applyFont="1" applyFill="1" applyBorder="1" applyAlignment="1">
      <alignment horizontal="left" vertical="center" indent="2"/>
    </xf>
    <xf numFmtId="179" fontId="57" fillId="11" borderId="0" xfId="0" applyNumberFormat="1" applyFont="1" applyFill="1" applyBorder="1" applyAlignment="1">
      <alignment horizontal="left" vertical="center" indent="2"/>
    </xf>
    <xf numFmtId="179" fontId="24" fillId="11" borderId="0" xfId="0" applyNumberFormat="1" applyFont="1" applyFill="1" applyBorder="1" applyAlignment="1">
      <alignment horizontal="left" vertical="center" indent="2"/>
    </xf>
    <xf numFmtId="179" fontId="46" fillId="7" borderId="0" xfId="0" applyNumberFormat="1" applyFont="1" applyFill="1" applyBorder="1" applyAlignment="1">
      <alignment horizontal="left" vertical="center" indent="2"/>
    </xf>
    <xf numFmtId="179" fontId="31" fillId="6" borderId="0" xfId="0" applyNumberFormat="1" applyFont="1" applyFill="1" applyBorder="1" applyAlignment="1">
      <alignment horizontal="left" indent="2"/>
    </xf>
    <xf numFmtId="179" fontId="34" fillId="6" borderId="0" xfId="0" applyNumberFormat="1" applyFont="1" applyFill="1" applyBorder="1" applyAlignment="1">
      <alignment horizontal="left" indent="2"/>
    </xf>
    <xf numFmtId="179" fontId="46" fillId="8" borderId="0" xfId="0" applyNumberFormat="1" applyFont="1" applyFill="1" applyBorder="1" applyAlignment="1">
      <alignment horizontal="left" indent="2"/>
    </xf>
    <xf numFmtId="179" fontId="31" fillId="12" borderId="0" xfId="0" applyNumberFormat="1" applyFont="1" applyFill="1" applyBorder="1" applyAlignment="1">
      <alignment horizontal="left" indent="2"/>
    </xf>
    <xf numFmtId="179" fontId="38" fillId="6" borderId="0" xfId="0" applyNumberFormat="1" applyFont="1" applyFill="1" applyBorder="1" applyAlignment="1">
      <alignment horizontal="left" indent="2"/>
    </xf>
    <xf numFmtId="179" fontId="71" fillId="8" borderId="0" xfId="0" applyNumberFormat="1" applyFont="1" applyFill="1" applyBorder="1" applyAlignment="1">
      <alignment horizontal="left" indent="2"/>
    </xf>
    <xf numFmtId="0" fontId="22" fillId="14" borderId="0" xfId="1" applyFont="1" applyFill="1" applyBorder="1" applyAlignment="1">
      <alignment horizontal="center" vertical="center"/>
    </xf>
    <xf numFmtId="180" fontId="27" fillId="16" borderId="3" xfId="0" applyNumberFormat="1" applyFont="1" applyFill="1" applyBorder="1" applyAlignment="1">
      <alignment horizontal="left" vertical="center" indent="2"/>
    </xf>
    <xf numFmtId="180" fontId="28" fillId="16" borderId="0" xfId="0" applyNumberFormat="1" applyFont="1" applyFill="1" applyBorder="1" applyAlignment="1">
      <alignment horizontal="left" vertical="center" indent="2"/>
    </xf>
    <xf numFmtId="178" fontId="29" fillId="13" borderId="3" xfId="0" applyNumberFormat="1" applyFont="1" applyFill="1" applyBorder="1" applyAlignment="1">
      <alignment horizontal="left" vertical="center" indent="2"/>
    </xf>
    <xf numFmtId="178" fontId="29" fillId="13" borderId="0" xfId="0" applyNumberFormat="1" applyFont="1" applyFill="1" applyBorder="1" applyAlignment="1">
      <alignment horizontal="left" vertical="center" indent="2"/>
    </xf>
    <xf numFmtId="179" fontId="27" fillId="11" borderId="3" xfId="0" applyNumberFormat="1" applyFont="1" applyFill="1" applyBorder="1" applyAlignment="1">
      <alignment horizontal="center" vertical="center"/>
    </xf>
    <xf numFmtId="179" fontId="27" fillId="11" borderId="0" xfId="0" applyNumberFormat="1" applyFont="1" applyFill="1" applyBorder="1" applyAlignment="1">
      <alignment horizontal="center" vertical="center"/>
    </xf>
    <xf numFmtId="179" fontId="43" fillId="15" borderId="3" xfId="0" applyNumberFormat="1" applyFont="1" applyFill="1" applyBorder="1" applyAlignment="1">
      <alignment horizontal="center" vertical="center"/>
    </xf>
    <xf numFmtId="179" fontId="43" fillId="15" borderId="0" xfId="0" applyNumberFormat="1" applyFont="1" applyFill="1" applyBorder="1" applyAlignment="1">
      <alignment horizontal="center" vertical="center"/>
    </xf>
    <xf numFmtId="179" fontId="34" fillId="8" borderId="3" xfId="0" applyNumberFormat="1" applyFont="1" applyFill="1" applyBorder="1" applyAlignment="1">
      <alignment horizontal="left" vertical="center" indent="2"/>
    </xf>
    <xf numFmtId="179" fontId="34" fillId="8" borderId="0" xfId="0" applyNumberFormat="1" applyFont="1" applyFill="1" applyBorder="1" applyAlignment="1">
      <alignment horizontal="left" vertical="center" indent="2"/>
    </xf>
    <xf numFmtId="179" fontId="34" fillId="6" borderId="3" xfId="0" applyNumberFormat="1" applyFont="1" applyFill="1" applyBorder="1" applyAlignment="1">
      <alignment horizontal="left" vertical="center" indent="2"/>
    </xf>
    <xf numFmtId="179" fontId="34" fillId="6" borderId="0" xfId="0" applyNumberFormat="1" applyFont="1" applyFill="1" applyBorder="1" applyAlignment="1">
      <alignment horizontal="left" vertical="center" indent="2"/>
    </xf>
    <xf numFmtId="179" fontId="34" fillId="6" borderId="3" xfId="0" applyNumberFormat="1" applyFont="1" applyFill="1" applyBorder="1" applyAlignment="1">
      <alignment horizontal="center" vertical="center"/>
    </xf>
    <xf numFmtId="179" fontId="34" fillId="6" borderId="0" xfId="0" applyNumberFormat="1" applyFont="1" applyFill="1" applyBorder="1" applyAlignment="1">
      <alignment horizontal="center" vertical="center"/>
    </xf>
    <xf numFmtId="179" fontId="34" fillId="15" borderId="3" xfId="0" applyNumberFormat="1" applyFont="1" applyFill="1" applyBorder="1" applyAlignment="1">
      <alignment horizontal="center"/>
    </xf>
    <xf numFmtId="179" fontId="34" fillId="15" borderId="0" xfId="0" applyNumberFormat="1" applyFont="1" applyFill="1" applyBorder="1" applyAlignment="1">
      <alignment horizontal="center"/>
    </xf>
    <xf numFmtId="179" fontId="39" fillId="8" borderId="3" xfId="0" applyNumberFormat="1" applyFont="1" applyFill="1" applyBorder="1" applyAlignment="1">
      <alignment horizontal="center"/>
    </xf>
    <xf numFmtId="179" fontId="39" fillId="8" borderId="0" xfId="0" applyNumberFormat="1" applyFont="1" applyFill="1" applyBorder="1" applyAlignment="1">
      <alignment horizontal="center"/>
    </xf>
    <xf numFmtId="179" fontId="34" fillId="8" borderId="3" xfId="0" applyNumberFormat="1" applyFont="1" applyFill="1" applyBorder="1" applyAlignment="1">
      <alignment horizontal="center" vertical="center"/>
    </xf>
    <xf numFmtId="179" fontId="34" fillId="8" borderId="0" xfId="0" applyNumberFormat="1" applyFont="1" applyFill="1" applyBorder="1" applyAlignment="1">
      <alignment horizontal="center" vertical="center"/>
    </xf>
    <xf numFmtId="179" fontId="34" fillId="12" borderId="3" xfId="0" applyNumberFormat="1" applyFont="1" applyFill="1" applyBorder="1" applyAlignment="1">
      <alignment horizontal="center" vertical="center"/>
    </xf>
    <xf numFmtId="179" fontId="34" fillId="12" borderId="0" xfId="0" applyNumberFormat="1" applyFont="1" applyFill="1" applyBorder="1" applyAlignment="1">
      <alignment horizontal="center" vertical="center"/>
    </xf>
  </cellXfs>
  <cellStyles count="47">
    <cellStyle name="20% - 강조색1" xfId="24" builtinId="30" customBuiltin="1"/>
    <cellStyle name="20% - 강조색2" xfId="28" builtinId="34" customBuiltin="1"/>
    <cellStyle name="20% - 강조색3" xfId="32" builtinId="38" customBuiltin="1"/>
    <cellStyle name="20% - 강조색4" xfId="36" builtinId="42" customBuiltin="1"/>
    <cellStyle name="20% - 강조색5" xfId="40" builtinId="46" customBuiltin="1"/>
    <cellStyle name="20% - 강조색6" xfId="44" builtinId="50" customBuiltin="1"/>
    <cellStyle name="40% - 강조색1" xfId="25" builtinId="31" customBuiltin="1"/>
    <cellStyle name="40% - 강조색2" xfId="29" builtinId="35" customBuiltin="1"/>
    <cellStyle name="40% - 강조색3" xfId="33" builtinId="39" customBuiltin="1"/>
    <cellStyle name="40% - 강조색4" xfId="37" builtinId="43" customBuiltin="1"/>
    <cellStyle name="40% - 강조색5" xfId="41" builtinId="47" customBuiltin="1"/>
    <cellStyle name="40% - 강조색6" xfId="45" builtinId="51" customBuiltin="1"/>
    <cellStyle name="60% - 강조색1" xfId="26" builtinId="32" customBuiltin="1"/>
    <cellStyle name="60% - 강조색2" xfId="30" builtinId="36" customBuiltin="1"/>
    <cellStyle name="60% - 강조색3" xfId="34" builtinId="40" customBuiltin="1"/>
    <cellStyle name="60% - 강조색4" xfId="38" builtinId="44" customBuiltin="1"/>
    <cellStyle name="60% - 강조색5" xfId="42" builtinId="48" customBuiltin="1"/>
    <cellStyle name="60% - 강조색6" xfId="46" builtinId="52" customBuiltin="1"/>
    <cellStyle name="강조색1" xfId="23" builtinId="29" customBuiltin="1"/>
    <cellStyle name="강조색2" xfId="27" builtinId="33" customBuiltin="1"/>
    <cellStyle name="강조색3" xfId="31" builtinId="37" customBuiltin="1"/>
    <cellStyle name="강조색4" xfId="35" builtinId="41" customBuiltin="1"/>
    <cellStyle name="강조색5" xfId="39" builtinId="45" customBuiltin="1"/>
    <cellStyle name="강조색6" xfId="43" builtinId="49" customBuiltin="1"/>
    <cellStyle name="경고문" xfId="19" builtinId="11" customBuiltin="1"/>
    <cellStyle name="계산" xfId="16" builtinId="22" customBuiltin="1"/>
    <cellStyle name="나쁨" xfId="12" builtinId="27" customBuiltin="1"/>
    <cellStyle name="메모" xfId="20" builtinId="10" customBuiltin="1"/>
    <cellStyle name="백분율" xfId="9" builtinId="5" customBuiltin="1"/>
    <cellStyle name="보통" xfId="13" builtinId="28" customBuiltin="1"/>
    <cellStyle name="설명 텍스트" xfId="21" builtinId="53" customBuiltin="1"/>
    <cellStyle name="셀 확인" xfId="18" builtinId="23" customBuiltin="1"/>
    <cellStyle name="쉼표" xfId="5" builtinId="3" customBuiltin="1"/>
    <cellStyle name="쉼표 [0]" xfId="6" builtinId="6" customBuiltin="1"/>
    <cellStyle name="연결된 셀" xfId="17" builtinId="24" customBuiltin="1"/>
    <cellStyle name="요약" xfId="22" builtinId="25" customBuiltin="1"/>
    <cellStyle name="입력" xfId="14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10" builtinId="19" customBuiltin="1"/>
    <cellStyle name="좋음" xfId="11" builtinId="26" customBuiltin="1"/>
    <cellStyle name="출력" xfId="15" builtinId="21" customBuiltin="1"/>
    <cellStyle name="통화" xfId="7" builtinId="4" customBuiltin="1"/>
    <cellStyle name="통화 [0]" xfId="8" builtinId="7" customBuiltin="1"/>
    <cellStyle name="표준" xfId="0" builtinId="0" customBuiltin="1"/>
  </cellStyles>
  <dxfs count="273"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  <alignment horizontal="left" vertical="center" wrapText="0" indent="2" justifyLastLine="0" shrinkToFit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  <alignment horizontal="left" vertical="center" wrapText="0" indent="2" justifyLastLine="0" shrinkToFit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  <alignment horizontal="left" vertical="center" wrapText="0" indent="2" justifyLastLine="0" shrinkToFit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  <alignment horizontal="left" vertical="center" wrapText="0" indent="2" justifyLastLine="0" shrinkToFit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  <alignment horizontal="left" vertical="center" wrapText="0" indent="2" justifyLastLine="0" shrinkToFit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  <alignment horizontal="left" vertical="center" wrapText="0" indent="2" justifyLastLine="0" shrinkToFit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  <alignment horizontal="left" vertical="center" wrapText="0" indent="2" justifyLastLine="0" shrinkToFit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  <alignment horizontal="left" vertical="center" wrapText="0" indent="2" justifyLastLine="0" shrinkToFit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  <alignment horizontal="left" vertical="center" wrapText="0" indent="2" justifyLastLine="0" shrinkToFit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  <alignment horizontal="left" vertical="center" wrapText="0" indent="2" justifyLastLine="0" shrinkToFit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  <alignment horizontal="left" vertical="center" wrapText="0" indent="2" justifyLastLine="0" shrinkToFit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  <alignment horizontal="left" vertical="center" wrapText="0" indent="2" justifyLastLine="0" shrinkToFit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  <alignment horizontal="left" vertical="center" wrapText="0" indent="2" justifyLastLine="0" shrinkToFit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  <alignment horizontal="left" wrapText="0" indent="10" justifyLastLine="0" shrinkToFit="0"/>
    </dxf>
    <dxf>
      <border outline="0">
        <top style="medium">
          <color theme="4"/>
        </top>
        <bottom style="medium">
          <color theme="8"/>
        </bottom>
      </border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  <alignment horizontal="left" wrapText="0" indent="2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Franklin Gothic Book"/>
        <family val="2"/>
        <scheme val="minor"/>
      </font>
      <fill>
        <patternFill patternType="solid">
          <fgColor indexed="64"/>
          <bgColor rgb="FF38424C"/>
        </patternFill>
      </fill>
      <alignment horizontal="left" vertical="center" textRotation="0" wrapText="0" indent="2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rgb="FFE8E8E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0.249977111117893"/>
        <name val="Franklin Gothic Book"/>
        <family val="2"/>
        <scheme val="minor"/>
      </font>
      <alignment horizontal="left" vertical="center" textRotation="0" wrapText="0" indent="2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rgb="FFE8E8E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0.249977111117893"/>
        <name val="Franklin Gothic Book"/>
        <family val="2"/>
        <scheme val="minor"/>
      </font>
      <alignment horizontal="left" vertical="center" textRotation="0" wrapText="0" indent="2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rgb="FFE8E8E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0.249977111117893"/>
        <name val="Franklin Gothic Book"/>
        <family val="2"/>
        <scheme val="minor"/>
      </font>
      <alignment horizontal="left" vertical="center" textRotation="0" wrapText="0" indent="2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rgb="FFE8E8E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0.249977111117893"/>
        <name val="Franklin Gothic Book"/>
        <family val="2"/>
        <scheme val="minor"/>
      </font>
      <alignment horizontal="left" vertical="center" textRotation="0" wrapText="0" indent="2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rgb="FFE8E8E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0.249977111117893"/>
        <name val="Franklin Gothic Book"/>
        <family val="2"/>
        <scheme val="minor"/>
      </font>
      <alignment horizontal="left" vertical="center" textRotation="0" wrapText="0" indent="2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rgb="FFE8E8E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0.249977111117893"/>
        <name val="Franklin Gothic Book"/>
        <family val="2"/>
        <scheme val="minor"/>
      </font>
      <alignment horizontal="left" vertical="center" textRotation="0" wrapText="0" indent="2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rgb="FFE8E8E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0.249977111117893"/>
        <name val="Franklin Gothic Book"/>
        <family val="2"/>
        <scheme val="minor"/>
      </font>
      <alignment horizontal="left" vertical="center" textRotation="0" wrapText="0" indent="2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rgb="FFE8E8E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0.249977111117893"/>
        <name val="Franklin Gothic Book"/>
        <family val="2"/>
        <scheme val="minor"/>
      </font>
      <alignment horizontal="left" vertical="center" textRotation="0" wrapText="0" indent="2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rgb="FFE8E8E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0.249977111117893"/>
        <name val="Franklin Gothic Book"/>
        <family val="2"/>
        <scheme val="minor"/>
      </font>
      <alignment horizontal="left" vertical="center" textRotation="0" wrapText="0" indent="2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rgb="FFE8E8E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0.249977111117893"/>
        <name val="Franklin Gothic Book"/>
        <family val="2"/>
        <scheme val="minor"/>
      </font>
      <alignment horizontal="left" vertical="center" textRotation="0" wrapText="0" indent="2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rgb="FFE8E8E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0.249977111117893"/>
        <name val="Franklin Gothic Book"/>
        <family val="2"/>
        <scheme val="minor"/>
      </font>
      <alignment horizontal="left" vertical="center" textRotation="0" wrapText="0" indent="2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rgb="FFE8E8E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0.249977111117893"/>
        <name val="Franklin Gothic Book"/>
        <family val="2"/>
        <scheme val="minor"/>
      </font>
      <alignment horizontal="left" vertical="center" textRotation="0" wrapText="0" indent="2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B335A"/>
        <name val="Malgun Gothic"/>
        <family val="2"/>
        <scheme val="none"/>
      </font>
      <fill>
        <patternFill patternType="solid">
          <fgColor indexed="64"/>
          <bgColor rgb="FFE8E8E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0.249977111117893"/>
        <name val="Franklin Gothic Book"/>
        <family val="2"/>
        <scheme val="minor"/>
      </font>
      <alignment horizontal="left" vertical="center" textRotation="0" wrapText="0" indent="2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1B335A"/>
        <name val="Malgun Gothic"/>
        <family val="2"/>
        <scheme val="none"/>
      </font>
      <fill>
        <patternFill patternType="solid">
          <fgColor indexed="64"/>
          <bgColor rgb="FFE8E8E8"/>
        </patternFill>
      </fill>
      <alignment horizontal="left" vertical="center" textRotation="0" wrapText="0" indent="10" justifyLastLine="0" shrinkToFit="0" readingOrder="0"/>
    </dxf>
    <dxf>
      <font>
        <strike val="0"/>
        <outline val="0"/>
        <shadow val="0"/>
        <u val="none"/>
        <vertAlign val="baseline"/>
        <sz val="13"/>
        <color theme="3" tint="0.249977111117893"/>
        <name val="Franklin Gothic Book"/>
        <family val="2"/>
        <scheme val="minor"/>
      </font>
      <alignment horizontal="left" vertical="center" textRotation="0" wrapText="0" indent="10" justifyLastLine="0" shrinkToFit="0"/>
    </dxf>
    <dxf>
      <font>
        <strike val="0"/>
        <outline val="0"/>
        <shadow val="0"/>
        <u val="none"/>
        <vertAlign val="baseline"/>
        <sz val="11"/>
        <color rgb="FF1B335A"/>
        <name val="Franklin Gothic Book"/>
        <family val="2"/>
        <scheme val="minor"/>
      </font>
      <fill>
        <patternFill patternType="solid">
          <fgColor indexed="64"/>
          <bgColor rgb="FFE8E8E8"/>
        </patternFill>
      </fill>
      <alignment horizontal="left" wrapText="0" indent="2" justifyLastLine="0" shrinkToFit="0"/>
    </dxf>
    <dxf>
      <border outline="0">
        <bottom style="medium">
          <color theme="8"/>
        </bottom>
      </border>
    </dxf>
    <dxf>
      <font>
        <strike val="0"/>
        <outline val="0"/>
        <shadow val="0"/>
        <u val="none"/>
        <vertAlign val="baseline"/>
        <sz val="11"/>
        <name val="Franklin Gothic Book"/>
        <family val="2"/>
        <scheme val="minor"/>
      </font>
      <alignment horizontal="left" wrapText="0" indent="2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2"/>
        <name val="Franklin Gothic Medium"/>
        <family val="2"/>
        <scheme val="major"/>
      </font>
      <fill>
        <patternFill patternType="solid">
          <fgColor indexed="64"/>
          <bgColor rgb="FF12355B"/>
        </patternFill>
      </fill>
      <alignment horizontal="left" vertical="center" textRotation="0" wrapText="0" indent="2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rgb="FFE8E8E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  <alignment horizontal="left" vertical="center" textRotation="0" wrapText="0" indent="2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rgb="FFE8E8E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  <alignment horizontal="left" vertical="center" textRotation="0" wrapText="0" indent="2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rgb="FFE8E8E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  <alignment horizontal="left" vertical="center" textRotation="0" wrapText="0" indent="2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rgb="FFE8E8E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  <alignment horizontal="left" vertical="center" textRotation="0" wrapText="0" indent="2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rgb="FFE8E8E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  <alignment horizontal="left" vertical="center" textRotation="0" wrapText="0" indent="2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rgb="FFE8E8E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  <alignment horizontal="left" vertical="center" textRotation="0" wrapText="0" indent="2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rgb="FFE8E8E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  <alignment horizontal="left" vertical="center" textRotation="0" wrapText="0" indent="2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rgb="FFE8E8E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  <alignment horizontal="left" vertical="center" textRotation="0" wrapText="0" indent="2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rgb="FFE8E8E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  <alignment horizontal="left" vertical="center" textRotation="0" wrapText="0" indent="2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rgb="FFE8E8E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  <alignment horizontal="left" vertical="center" textRotation="0" wrapText="0" indent="2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rgb="FFE8E8E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  <alignment horizontal="left" vertical="center" textRotation="0" wrapText="0" indent="2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rgb="FFE8E8E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  <alignment horizontal="left" vertical="center" textRotation="0" wrapText="0" indent="2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B335A"/>
        <name val="Malgun Gothic"/>
        <family val="2"/>
        <scheme val="none"/>
      </font>
      <fill>
        <patternFill patternType="solid">
          <fgColor indexed="64"/>
          <bgColor rgb="FFE8E8E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  <alignment horizontal="left" vertical="center" textRotation="0" wrapText="0" indent="2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1B335A"/>
        <name val="Malgun Gothic"/>
        <family val="2"/>
        <scheme val="none"/>
      </font>
      <fill>
        <patternFill patternType="solid">
          <fgColor indexed="64"/>
          <bgColor rgb="FFE8E8E8"/>
        </patternFill>
      </fill>
      <alignment horizontal="left" vertical="center" textRotation="0" wrapText="0" indent="10" justifyLastLine="0" shrinkToFit="0" readingOrder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  <alignment horizontal="left" vertical="center" textRotation="0" wrapText="0" indent="10" justifyLastLine="0" shrinkToFit="0"/>
    </dxf>
    <dxf>
      <font>
        <strike val="0"/>
        <outline val="0"/>
        <shadow val="0"/>
        <u val="none"/>
        <vertAlign val="baseline"/>
        <sz val="11"/>
        <color rgb="FF1B335A"/>
        <name val="Franklin Gothic Book"/>
        <family val="2"/>
        <scheme val="minor"/>
      </font>
      <fill>
        <patternFill patternType="solid">
          <fgColor indexed="64"/>
          <bgColor rgb="FFE8E8E8"/>
        </patternFill>
      </fill>
      <alignment horizontal="left" wrapText="0" indent="2" justifyLastLine="0" shrinkToFit="0"/>
    </dxf>
    <dxf>
      <border outline="0">
        <bottom style="medium">
          <color theme="8"/>
        </bottom>
      </border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  <alignment horizontal="left" wrapText="0" indent="2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2"/>
        <name val="Franklin Gothic Medium"/>
        <family val="2"/>
        <scheme val="major"/>
      </font>
      <fill>
        <patternFill patternType="solid">
          <fgColor indexed="64"/>
          <bgColor rgb="FF12355B"/>
        </patternFill>
      </fill>
      <alignment horizontal="left" vertical="center" textRotation="0" wrapText="0" indent="2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rgb="FFF8F8F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  <alignment horizontal="left" vertical="center" wrapText="0" indent="2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rgb="FFF8F8F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  <alignment horizontal="left" vertical="center" wrapText="0" indent="2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rgb="FFF8F8F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  <alignment horizontal="left" vertical="center" wrapText="0" indent="2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rgb="FFF8F8F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  <alignment horizontal="left" vertical="center" wrapText="0" indent="2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rgb="FFF8F8F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  <alignment horizontal="left" vertical="center" wrapText="0" indent="2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rgb="FFF8F8F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  <alignment horizontal="left" vertical="center" wrapText="0" indent="2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rgb="FFF8F8F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  <alignment horizontal="left" vertical="center" wrapText="0" indent="2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rgb="FFF8F8F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  <alignment horizontal="left" vertical="center" wrapText="0" indent="2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rgb="FFF8F8F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  <alignment horizontal="left" vertical="center" wrapText="0" indent="2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rgb="FFF8F8F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  <alignment horizontal="left" vertical="center" wrapText="0" indent="2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rgb="FFF8F8F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  <alignment horizontal="left" vertical="center" wrapText="0" indent="2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rgb="FFF8F8F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  <alignment horizontal="left" vertical="center" wrapText="0" indent="2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fill>
        <patternFill patternType="solid">
          <fgColor indexed="64"/>
          <bgColor rgb="FFF8F8F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  <alignment horizontal="left" vertical="center" wrapText="0" indent="2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1B335A"/>
        <name val="Malgun Gothic"/>
        <family val="2"/>
        <scheme val="none"/>
      </font>
      <fill>
        <patternFill patternType="solid">
          <fgColor indexed="64"/>
          <bgColor rgb="FFF8F8F8"/>
        </patternFill>
      </fill>
      <alignment horizontal="left" vertical="center" textRotation="0" wrapText="0" indent="10" justifyLastLine="0" shrinkToFit="0" readingOrder="0"/>
    </dxf>
    <dxf>
      <font>
        <strike val="0"/>
        <outline val="0"/>
        <shadow val="0"/>
        <u val="none"/>
        <vertAlign val="baseline"/>
        <sz val="13"/>
        <name val="Franklin Gothic Book"/>
        <family val="2"/>
        <scheme val="minor"/>
      </font>
      <alignment horizontal="left" wrapText="0" indent="10" justifyLastLine="0" shrinkToFit="0"/>
    </dxf>
    <dxf>
      <font>
        <strike val="0"/>
        <outline val="0"/>
        <shadow val="0"/>
        <u val="none"/>
        <vertAlign val="baseline"/>
        <sz val="11"/>
        <color rgb="FF1B335A"/>
        <name val="Franklin Gothic Book"/>
        <family val="2"/>
        <scheme val="minor"/>
      </font>
      <fill>
        <patternFill patternType="solid">
          <fgColor indexed="64"/>
          <bgColor rgb="FFF8F8F8"/>
        </patternFill>
      </fill>
      <alignment horizontal="left" wrapText="0" indent="2" justifyLastLine="0" shrinkToFit="0"/>
    </dxf>
    <dxf>
      <border outline="0">
        <bottom style="medium">
          <color theme="8"/>
        </bottom>
      </border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  <alignment horizontal="left" wrapText="0" indent="2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2"/>
        <name val="Franklin Gothic Medium"/>
        <family val="2"/>
        <scheme val="major"/>
      </font>
      <fill>
        <patternFill patternType="solid">
          <fgColor indexed="64"/>
          <bgColor rgb="FF12355B"/>
        </patternFill>
      </fill>
      <alignment horizontal="left" vertical="center" textRotation="0" wrapText="0" indent="2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theme="2" tint="-4.9989318521683403E-2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theme="2" tint="-4.9989318521683403E-2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theme="2" tint="-4.9989318521683403E-2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theme="2" tint="-4.9989318521683403E-2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theme="2" tint="-4.9989318521683403E-2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theme="2" tint="-4.9989318521683403E-2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theme="2" tint="-4.9989318521683403E-2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theme="2" tint="-4.9989318521683403E-2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theme="2" tint="-4.9989318521683403E-2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theme="2" tint="-4.9989318521683403E-2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theme="2" tint="-4.9989318521683403E-2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theme="2" tint="-4.9989318521683403E-2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fill>
        <patternFill patternType="solid">
          <fgColor indexed="64"/>
          <bgColor theme="2" tint="-4.9989318521683403E-2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1B335A"/>
        <name val="Malgun Gothic"/>
        <family val="2"/>
        <scheme val="none"/>
      </font>
      <fill>
        <patternFill patternType="solid">
          <fgColor indexed="64"/>
          <bgColor theme="2" tint="-4.9989318521683403E-2"/>
        </patternFill>
      </fill>
      <alignment horizontal="left" vertical="center" textRotation="0" wrapText="0" indent="1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0.14999847407452621"/>
        <name val="Franklin Gothic Book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10" justifyLastLine="0" shrinkToFit="0" readingOrder="0"/>
    </dxf>
    <dxf>
      <font>
        <strike val="0"/>
        <outline val="0"/>
        <shadow val="0"/>
        <u val="none"/>
        <vertAlign val="baseline"/>
        <sz val="11"/>
        <color rgb="FF1B335A"/>
        <name val="Franklin Gothic Book"/>
        <family val="2"/>
        <scheme val="minor"/>
      </font>
      <fill>
        <patternFill patternType="solid">
          <fgColor indexed="64"/>
          <bgColor theme="2" tint="-4.9989318521683403E-2"/>
        </patternFill>
      </fill>
      <alignment horizontal="left" wrapText="0" indent="2" justifyLastLine="0" shrinkToFit="0"/>
    </dxf>
    <dxf>
      <border outline="0">
        <bottom style="medium">
          <color theme="8"/>
        </bottom>
      </border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  <alignment horizontal="left" wrapText="0" indent="2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Franklin Gothic Medium"/>
        <family val="2"/>
        <scheme val="major"/>
      </font>
      <fill>
        <patternFill patternType="solid">
          <fgColor indexed="64"/>
          <bgColor rgb="FF12355B"/>
        </patternFill>
      </fill>
      <alignment horizontal="left" vertical="center" textRotation="0" wrapText="0" indent="2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rgb="FFE8E8E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  <alignment horizontal="left" vertical="center" wrapText="0" indent="2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rgb="FFE8E8E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  <alignment horizontal="left" vertical="center" wrapText="0" indent="2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rgb="FFE8E8E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  <alignment horizontal="left" vertical="center" wrapText="0" indent="2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rgb="FFE8E8E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  <alignment horizontal="left" vertical="center" wrapText="0" indent="2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rgb="FFE8E8E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  <alignment horizontal="left" vertical="center" wrapText="0" indent="2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rgb="FFE8E8E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  <alignment horizontal="left" vertical="center" wrapText="0" indent="2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rgb="FFE8E8E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  <alignment horizontal="left" vertical="center" wrapText="0" indent="2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rgb="FFE8E8E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  <alignment horizontal="left" vertical="center" wrapText="0" indent="2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rgb="FFE8E8E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  <alignment horizontal="left" vertical="center" wrapText="0" indent="2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rgb="FFE8E8E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  <alignment horizontal="left" vertical="center" wrapText="0" indent="2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rgb="FFE8E8E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  <alignment horizontal="left" vertical="center" wrapText="0" indent="2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rgb="FFE8E8E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  <alignment horizontal="left" vertical="center" wrapText="0" indent="2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fill>
        <patternFill patternType="solid">
          <fgColor indexed="64"/>
          <bgColor rgb="FFE8E8E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  <alignment horizontal="left" vertical="center" wrapText="0" indent="2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1B335A"/>
        <name val="Malgun Gothic"/>
        <family val="2"/>
        <scheme val="none"/>
      </font>
      <fill>
        <patternFill patternType="solid">
          <fgColor indexed="64"/>
          <bgColor rgb="FFE8E8E8"/>
        </patternFill>
      </fill>
      <alignment horizontal="left" vertical="center" textRotation="0" wrapText="0" indent="10" justifyLastLine="0" shrinkToFit="0" readingOrder="0"/>
    </dxf>
    <dxf>
      <font>
        <strike val="0"/>
        <outline val="0"/>
        <shadow val="0"/>
        <u val="none"/>
        <vertAlign val="baseline"/>
        <sz val="13"/>
        <name val="Franklin Gothic Book"/>
        <family val="2"/>
        <scheme val="minor"/>
      </font>
      <alignment horizontal="left" wrapText="0" indent="10" justifyLastLine="0" shrinkToFit="0"/>
    </dxf>
    <dxf>
      <font>
        <strike val="0"/>
        <outline val="0"/>
        <shadow val="0"/>
        <u val="none"/>
        <vertAlign val="baseline"/>
        <sz val="11"/>
        <color rgb="FF1B335A"/>
        <name val="Franklin Gothic Book"/>
        <family val="2"/>
        <scheme val="minor"/>
      </font>
      <fill>
        <patternFill patternType="solid">
          <fgColor indexed="64"/>
          <bgColor rgb="FFE8E8E8"/>
        </patternFill>
      </fill>
      <alignment horizontal="left" wrapText="0" indent="2" justifyLastLine="0" shrinkToFit="0"/>
    </dxf>
    <dxf>
      <border outline="0">
        <top style="medium">
          <color theme="5"/>
        </top>
        <bottom style="medium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Franklin Gothic Book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2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2"/>
        <name val="Franklin Gothic Medium"/>
        <family val="2"/>
        <scheme val="major"/>
      </font>
      <fill>
        <patternFill patternType="solid">
          <fgColor indexed="64"/>
          <bgColor rgb="FF12355B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 tint="0.249977111117893"/>
        <name val="Malgun Gothic"/>
        <family val="2"/>
        <scheme val="none"/>
      </font>
      <numFmt numFmtId="179" formatCode="#,##0.00_ "/>
      <fill>
        <patternFill patternType="solid">
          <fgColor indexed="64"/>
          <bgColor rgb="FFE8E8E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1"/>
        <name val="Franklin Gothic Book"/>
        <family val="2"/>
        <scheme val="minor"/>
      </font>
      <alignment horizontal="left" vertical="center" wrapText="0" indent="2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 tint="0.249977111117893"/>
        <name val="Malgun Gothic"/>
        <family val="2"/>
        <scheme val="none"/>
      </font>
      <numFmt numFmtId="179" formatCode="#,##0.00_ "/>
      <fill>
        <patternFill patternType="solid">
          <fgColor indexed="64"/>
          <bgColor rgb="FFE8E8E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1"/>
        <name val="Franklin Gothic Book"/>
        <family val="2"/>
        <scheme val="minor"/>
      </font>
      <alignment horizontal="left" vertical="center" wrapText="0" indent="2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 tint="0.249977111117893"/>
        <name val="Malgun Gothic"/>
        <family val="2"/>
        <scheme val="none"/>
      </font>
      <numFmt numFmtId="179" formatCode="#,##0.00_ "/>
      <fill>
        <patternFill patternType="solid">
          <fgColor indexed="64"/>
          <bgColor rgb="FFE8E8E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1"/>
        <name val="Franklin Gothic Book"/>
        <family val="2"/>
        <scheme val="minor"/>
      </font>
      <alignment horizontal="left" vertical="center" wrapText="0" indent="2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 tint="0.249977111117893"/>
        <name val="Malgun Gothic"/>
        <family val="2"/>
        <scheme val="none"/>
      </font>
      <numFmt numFmtId="179" formatCode="#,##0.00_ "/>
      <fill>
        <patternFill patternType="solid">
          <fgColor indexed="64"/>
          <bgColor rgb="FFE8E8E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1"/>
        <name val="Franklin Gothic Book"/>
        <family val="2"/>
        <scheme val="minor"/>
      </font>
      <alignment horizontal="left" vertical="center" wrapText="0" indent="2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 tint="0.249977111117893"/>
        <name val="Malgun Gothic"/>
        <family val="2"/>
        <scheme val="none"/>
      </font>
      <numFmt numFmtId="179" formatCode="#,##0.00_ "/>
      <fill>
        <patternFill patternType="solid">
          <fgColor indexed="64"/>
          <bgColor rgb="FFE8E8E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1"/>
        <name val="Franklin Gothic Book"/>
        <family val="2"/>
        <scheme val="minor"/>
      </font>
      <alignment horizontal="left" vertical="center" wrapText="0" indent="2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 tint="0.249977111117893"/>
        <name val="Malgun Gothic"/>
        <family val="2"/>
        <scheme val="none"/>
      </font>
      <numFmt numFmtId="179" formatCode="#,##0.00_ "/>
      <fill>
        <patternFill patternType="solid">
          <fgColor indexed="64"/>
          <bgColor rgb="FFE8E8E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1"/>
        <name val="Franklin Gothic Book"/>
        <family val="2"/>
        <scheme val="minor"/>
      </font>
      <alignment horizontal="left" vertical="center" wrapText="0" indent="2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 tint="0.249977111117893"/>
        <name val="Malgun Gothic"/>
        <family val="2"/>
        <scheme val="none"/>
      </font>
      <numFmt numFmtId="179" formatCode="#,##0.00_ "/>
      <fill>
        <patternFill patternType="solid">
          <fgColor indexed="64"/>
          <bgColor rgb="FFE8E8E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1"/>
        <name val="Franklin Gothic Book"/>
        <family val="2"/>
        <scheme val="minor"/>
      </font>
      <alignment horizontal="left" vertical="center" wrapText="0" indent="2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 tint="0.249977111117893"/>
        <name val="Malgun Gothic"/>
        <family val="2"/>
        <scheme val="none"/>
      </font>
      <numFmt numFmtId="179" formatCode="#,##0.00_ "/>
      <fill>
        <patternFill patternType="solid">
          <fgColor indexed="64"/>
          <bgColor rgb="FFE8E8E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1"/>
        <name val="Franklin Gothic Book"/>
        <family val="2"/>
        <scheme val="minor"/>
      </font>
      <alignment horizontal="left" vertical="center" wrapText="0" indent="2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 tint="0.249977111117893"/>
        <name val="Malgun Gothic"/>
        <family val="2"/>
        <scheme val="none"/>
      </font>
      <numFmt numFmtId="179" formatCode="#,##0.00_ "/>
      <fill>
        <patternFill patternType="solid">
          <fgColor indexed="64"/>
          <bgColor rgb="FFE8E8E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1"/>
        <name val="Franklin Gothic Book"/>
        <family val="2"/>
        <scheme val="minor"/>
      </font>
      <alignment horizontal="left" vertical="center" wrapText="0" indent="2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 tint="0.249977111117893"/>
        <name val="Malgun Gothic"/>
        <family val="2"/>
        <scheme val="none"/>
      </font>
      <numFmt numFmtId="179" formatCode="#,##0.00_ "/>
      <fill>
        <patternFill patternType="solid">
          <fgColor indexed="64"/>
          <bgColor rgb="FFE8E8E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1"/>
        <name val="Franklin Gothic Book"/>
        <family val="2"/>
        <scheme val="minor"/>
      </font>
      <alignment horizontal="left" vertical="center" wrapText="0" indent="2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 tint="0.249977111117893"/>
        <name val="Malgun Gothic"/>
        <family val="2"/>
        <scheme val="none"/>
      </font>
      <numFmt numFmtId="179" formatCode="#,##0.00_ "/>
      <fill>
        <patternFill patternType="solid">
          <fgColor indexed="64"/>
          <bgColor rgb="FFE8E8E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1"/>
        <name val="Franklin Gothic Book"/>
        <family val="2"/>
        <scheme val="minor"/>
      </font>
      <alignment horizontal="left" vertical="center" wrapText="0" indent="2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 tint="0.249977111117893"/>
        <name val="Malgun Gothic"/>
        <family val="2"/>
        <scheme val="none"/>
      </font>
      <numFmt numFmtId="179" formatCode="#,##0.00_ "/>
      <fill>
        <patternFill patternType="solid">
          <fgColor indexed="64"/>
          <bgColor rgb="FFE8E8E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1"/>
        <name val="Franklin Gothic Book"/>
        <family val="2"/>
        <scheme val="minor"/>
      </font>
      <alignment horizontal="left" vertical="center" wrapText="0" indent="2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249977111117893"/>
        <name val="Malgun Gothic"/>
        <family val="2"/>
        <scheme val="none"/>
      </font>
      <fill>
        <patternFill patternType="solid">
          <fgColor indexed="64"/>
          <bgColor rgb="FFE8E8E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1"/>
        <name val="Franklin Gothic Book"/>
        <family val="2"/>
        <scheme val="minor"/>
      </font>
      <alignment horizontal="left" vertical="center" wrapText="0" indent="2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3" tint="0.249977111117893"/>
        <name val="Malgun Gothic"/>
        <family val="2"/>
        <scheme val="none"/>
      </font>
      <fill>
        <patternFill patternType="solid">
          <fgColor indexed="64"/>
          <bgColor rgb="FFE8E8E8"/>
        </patternFill>
      </fill>
      <alignment horizontal="left" vertical="center" textRotation="0" wrapText="0" indent="10" justifyLastLine="0" shrinkToFit="0" readingOrder="0"/>
    </dxf>
    <dxf>
      <font>
        <strike val="0"/>
        <outline val="0"/>
        <shadow val="0"/>
        <u val="none"/>
        <vertAlign val="baseline"/>
        <sz val="13"/>
        <name val="Franklin Gothic Book"/>
        <family val="2"/>
        <scheme val="minor"/>
      </font>
      <alignment horizontal="left" wrapText="0" indent="10" justifyLastLine="0" shrinkToFit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  <fill>
        <patternFill patternType="solid">
          <fgColor indexed="64"/>
          <bgColor rgb="FFE8E8E8"/>
        </patternFill>
      </fill>
      <alignment horizontal="left" wrapText="0" indent="2" justifyLastLine="0" shrinkToFit="0"/>
    </dxf>
    <dxf>
      <border outline="0">
        <bottom style="medium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Franklin Gothic Book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2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Franklin Gothic Medium"/>
        <family val="2"/>
        <scheme val="major"/>
      </font>
      <fill>
        <patternFill patternType="solid">
          <fgColor indexed="64"/>
          <bgColor rgb="FF12355B"/>
        </patternFill>
      </fill>
      <alignment horizontal="left" vertical="center" textRotation="0" wrapText="0" indent="2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rgb="FFF8F8F8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249977111117893"/>
        <name val="Franklin Gothic Book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2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rgb="FFF8F8F8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249977111117893"/>
        <name val="Franklin Gothic Book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2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rgb="FFF8F8F8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249977111117893"/>
        <name val="Franklin Gothic Book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2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rgb="FFF8F8F8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249977111117893"/>
        <name val="Franklin Gothic Book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2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rgb="FFF8F8F8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249977111117893"/>
        <name val="Franklin Gothic Book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2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rgb="FFF8F8F8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249977111117893"/>
        <name val="Franklin Gothic Book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2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rgb="FFF8F8F8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249977111117893"/>
        <name val="Franklin Gothic Book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2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rgb="FFF8F8F8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249977111117893"/>
        <name val="Franklin Gothic Book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2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rgb="FFF8F8F8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249977111117893"/>
        <name val="Franklin Gothic Book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2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rgb="FFF8F8F8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249977111117893"/>
        <name val="Franklin Gothic Book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2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rgb="FFF8F8F8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249977111117893"/>
        <name val="Franklin Gothic Book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2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rgb="FFF8F8F8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249977111117893"/>
        <name val="Franklin Gothic Book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2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fill>
        <patternFill patternType="solid">
          <fgColor indexed="64"/>
          <bgColor rgb="FFF8F8F8"/>
        </patternFill>
      </fill>
      <alignment horizontal="left" vertical="center" textRotation="0" wrapText="0" indent="2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 tint="0.249977111117893"/>
        <name val="Franklin Gothic Book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2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1B335A"/>
        <name val="Malgun Gothic"/>
        <family val="2"/>
        <scheme val="none"/>
      </font>
      <fill>
        <patternFill patternType="solid">
          <fgColor indexed="64"/>
          <bgColor rgb="FFF8F8F8"/>
        </patternFill>
      </fill>
      <alignment horizontal="left" vertical="center" textRotation="0" wrapText="0" indent="1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249977111117893"/>
        <name val="Franklin Gothic Book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10" justifyLastLine="0" shrinkToFit="0" readingOrder="0"/>
    </dxf>
    <dxf>
      <font>
        <strike val="0"/>
        <outline val="0"/>
        <shadow val="0"/>
        <u val="none"/>
        <vertAlign val="baseline"/>
        <sz val="11"/>
        <color rgb="FF1B335A"/>
        <name val="Franklin Gothic Book"/>
        <family val="2"/>
        <scheme val="minor"/>
      </font>
      <fill>
        <patternFill patternType="solid">
          <fgColor indexed="64"/>
          <bgColor rgb="FFF8F8F8"/>
        </patternFill>
      </fill>
      <alignment horizontal="left" vertical="center" textRotation="0" wrapText="0" indent="2" justifyLastLine="0" shrinkToFit="0"/>
    </dxf>
    <dxf>
      <border outline="0">
        <bottom style="medium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249977111117893"/>
        <name val="Franklin Gothic Book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2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Franklin Gothic Medium"/>
        <family val="2"/>
        <scheme val="major"/>
      </font>
      <fill>
        <patternFill patternType="solid">
          <fgColor indexed="64"/>
          <bgColor rgb="FF12355B"/>
        </patternFill>
      </fill>
      <alignment horizontal="left" vertical="center" textRotation="0" wrapText="0" indent="2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rgb="FFE8E8E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  <alignment horizontal="left" vertical="center" wrapText="0" indent="2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rgb="FFE8E8E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  <alignment horizontal="left" vertical="center" wrapText="0" indent="2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rgb="FFE8E8E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  <alignment horizontal="left" vertical="center" wrapText="0" indent="2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rgb="FFE8E8E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  <alignment horizontal="left" vertical="center" wrapText="0" indent="2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rgb="FFE8E8E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  <alignment horizontal="left" vertical="center" wrapText="0" indent="2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rgb="FFE8E8E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  <alignment horizontal="left" vertical="center" wrapText="0" indent="2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rgb="FFE8E8E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  <alignment horizontal="left" vertical="center" wrapText="0" indent="2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rgb="FFE8E8E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  <alignment horizontal="left" vertical="center" wrapText="0" indent="2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rgb="FFE8E8E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  <alignment horizontal="left" vertical="center" wrapText="0" indent="2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rgb="FFE8E8E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  <alignment horizontal="left" vertical="center" wrapText="0" indent="2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rgb="FFE8E8E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  <alignment horizontal="left" vertical="center" wrapText="0" indent="2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numFmt numFmtId="179" formatCode="#,##0.00_ "/>
      <fill>
        <patternFill patternType="solid">
          <fgColor indexed="64"/>
          <bgColor rgb="FFE8E8E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  <alignment horizontal="left" vertical="center" wrapText="0" indent="2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335A"/>
        <name val="Malgun Gothic"/>
        <family val="2"/>
        <scheme val="none"/>
      </font>
      <fill>
        <patternFill patternType="solid">
          <fgColor indexed="64"/>
          <bgColor rgb="FFE8E8E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  <alignment horizontal="left" vertical="center" wrapText="0" indent="2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1B335A"/>
        <name val="Malgun Gothic"/>
        <family val="2"/>
        <scheme val="none"/>
      </font>
      <fill>
        <patternFill patternType="solid">
          <fgColor indexed="64"/>
          <bgColor rgb="FFE8E8E8"/>
        </patternFill>
      </fill>
      <alignment horizontal="left" vertical="center" textRotation="0" wrapText="0" indent="1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0.14999847407452621"/>
        <name val="Franklin Gothic Book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10" justifyLastLine="0" shrinkToFit="0" readingOrder="0"/>
    </dxf>
    <dxf>
      <font>
        <strike val="0"/>
        <outline val="0"/>
        <shadow val="0"/>
        <u val="none"/>
        <vertAlign val="baseline"/>
        <color rgb="FF1B335A"/>
        <name val="Franklin Gothic Book"/>
        <family val="2"/>
        <scheme val="minor"/>
      </font>
      <fill>
        <patternFill patternType="solid">
          <fgColor indexed="64"/>
          <bgColor rgb="FFE8E8E8"/>
        </patternFill>
      </fill>
      <alignment horizontal="left" textRotation="0" wrapText="0" indent="2" justifyLastLine="0" shrinkToFit="0"/>
    </dxf>
    <dxf>
      <border outline="0">
        <bottom style="medium">
          <color theme="8"/>
        </bottom>
      </border>
    </dxf>
    <dxf>
      <font>
        <strike val="0"/>
        <outline val="0"/>
        <shadow val="0"/>
        <u val="none"/>
        <vertAlign val="baseline"/>
        <name val="Franklin Gothic Book"/>
        <family val="2"/>
        <scheme val="minor"/>
      </font>
      <alignment horizontal="left" wrapText="0" indent="2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Franklin Gothic Medium"/>
        <family val="2"/>
        <scheme val="major"/>
      </font>
      <fill>
        <patternFill patternType="solid">
          <fgColor indexed="64"/>
          <bgColor rgb="FF12355B"/>
        </patternFill>
      </fill>
      <alignment horizontal="left" vertical="center" textRotation="0" wrapText="0" indent="2" justifyLastLine="0" shrinkToFit="0" readingOrder="0"/>
    </dxf>
  </dxfs>
  <tableStyles count="0" defaultTableStyle="TableStyleMedium2" defaultPivotStyle="PivotStyleLight16"/>
  <colors>
    <mruColors>
      <color rgb="FFF8F8F8"/>
      <color rgb="FFE8E8E8"/>
      <color rgb="FFC8F2FF"/>
      <color rgb="FF1B335A"/>
      <color rgb="FF38424C"/>
      <color rgb="FF79DDFF"/>
      <color rgb="FF12355B"/>
      <color rgb="FF3595BA"/>
      <color rgb="FFE2F0FD"/>
      <color rgb="FF2A8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11</xdr:col>
      <xdr:colOff>550193</xdr:colOff>
      <xdr:row>1</xdr:row>
      <xdr:rowOff>229</xdr:rowOff>
    </xdr:to>
    <xdr:pic>
      <xdr:nvPicPr>
        <xdr:cNvPr id="2" name="그림 1" descr="펜이 있는 차트를 가리키는 손과 계산기에 입력하는 다른 손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100" y="0"/>
          <a:ext cx="18834100" cy="2464029"/>
        </a:xfrm>
        <a:prstGeom prst="rect">
          <a:avLst/>
        </a:prstGeom>
      </xdr:spPr>
    </xdr:pic>
    <xdr:clientData/>
  </xdr:twoCellAnchor>
  <xdr:twoCellAnchor>
    <xdr:from>
      <xdr:col>4</xdr:col>
      <xdr:colOff>228600</xdr:colOff>
      <xdr:row>0</xdr:row>
      <xdr:rowOff>342900</xdr:rowOff>
    </xdr:from>
    <xdr:to>
      <xdr:col>18</xdr:col>
      <xdr:colOff>38100</xdr:colOff>
      <xdr:row>0</xdr:row>
      <xdr:rowOff>2082800</xdr:rowOff>
    </xdr:to>
    <xdr:sp macro="" textlink="">
      <xdr:nvSpPr>
        <xdr:cNvPr id="1031" name="텍스트 상자 7">
          <a:extLst>
            <a:ext uri="{FF2B5EF4-FFF2-40B4-BE49-F238E27FC236}">
              <a16:creationId xmlns:a16="http://schemas.microsoft.com/office/drawing/2014/main" id="{00000000-0008-0000-0100-000007040000}"/>
            </a:ext>
          </a:extLst>
        </xdr:cNvPr>
        <xdr:cNvSpPr txBox="1">
          <a:spLocks noChangeArrowheads="1"/>
        </xdr:cNvSpPr>
      </xdr:nvSpPr>
      <xdr:spPr bwMode="auto">
        <a:xfrm>
          <a:off x="7264400" y="342900"/>
          <a:ext cx="12204700" cy="1739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rtlCol="0" anchor="ctr" upright="1"/>
        <a:lstStyle/>
        <a:p>
          <a:pPr algn="ctr" rtl="0">
            <a:defRPr sz="1000"/>
          </a:pPr>
          <a:r>
            <a:rPr lang="ko" sz="5000" b="1" i="0" u="none" strike="noStrike" baseline="0">
              <a:solidFill>
                <a:srgbClr val="12355B"/>
              </a:solidFill>
              <a:latin typeface="Malgun Gothic" panose="020B0503020000020004" pitchFamily="50" charset="-127"/>
              <a:ea typeface="Malgun Gothic" panose="020B0503020000020004" pitchFamily="50" charset="-127"/>
              <a:cs typeface="Franklin Gothic Heavy" charset="0"/>
            </a:rPr>
            <a:t>채널 마케팅 예산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다이렉트마케팅" displayName="DirectMarketing" ref="B10:O17" totalsRowCount="1" headerRowDxfId="272" dataDxfId="271" totalsRowDxfId="269" tableBorderDxfId="270">
  <autoFilter ref="B10:O16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00000000-0010-0000-0000-000001000000}" name="직접 마케팅 항목" totalsRowLabel="텔레마케팅 합계 \(000,000)" dataDxfId="268" totalsRowDxfId="267"/>
    <tableColumn id="2" xr3:uid="{00000000-0010-0000-0000-000002000000}" name="요율" dataDxfId="266" totalsRowDxfId="265"/>
    <tableColumn id="3" xr3:uid="{00000000-0010-0000-0000-000003000000}" name="1월" totalsRowFunction="custom" dataDxfId="264" totalsRowDxfId="263">
      <totalsRowFormula>SUM(D13:D16)</totalsRowFormula>
    </tableColumn>
    <tableColumn id="4" xr3:uid="{00000000-0010-0000-0000-000004000000}" name="2월" totalsRowFunction="custom" dataDxfId="262" totalsRowDxfId="261">
      <totalsRowFormula>SUM(E13:E16)</totalsRowFormula>
    </tableColumn>
    <tableColumn id="5" xr3:uid="{00000000-0010-0000-0000-000005000000}" name="3월" totalsRowFunction="custom" dataDxfId="260" totalsRowDxfId="259">
      <totalsRowFormula>SUM(F13:F16)</totalsRowFormula>
    </tableColumn>
    <tableColumn id="6" xr3:uid="{00000000-0010-0000-0000-000006000000}" name="4월" totalsRowFunction="custom" dataDxfId="258" totalsRowDxfId="257">
      <totalsRowFormula>SUM(G13:G16)</totalsRowFormula>
    </tableColumn>
    <tableColumn id="7" xr3:uid="{00000000-0010-0000-0000-000007000000}" name="5월" totalsRowFunction="custom" dataDxfId="256" totalsRowDxfId="255">
      <totalsRowFormula>SUM(H13:H16)</totalsRowFormula>
    </tableColumn>
    <tableColumn id="8" xr3:uid="{00000000-0010-0000-0000-000008000000}" name="6월" totalsRowFunction="custom" dataDxfId="254" totalsRowDxfId="253">
      <totalsRowFormula>SUM(I13:I16)</totalsRowFormula>
    </tableColumn>
    <tableColumn id="9" xr3:uid="{00000000-0010-0000-0000-000009000000}" name="7월" totalsRowFunction="custom" dataDxfId="252" totalsRowDxfId="251">
      <totalsRowFormula>SUM(J13:J16)</totalsRowFormula>
    </tableColumn>
    <tableColumn id="10" xr3:uid="{00000000-0010-0000-0000-00000A000000}" name="8월" totalsRowFunction="custom" dataDxfId="250" totalsRowDxfId="249">
      <totalsRowFormula>SUM(K13:K16)</totalsRowFormula>
    </tableColumn>
    <tableColumn id="11" xr3:uid="{00000000-0010-0000-0000-00000B000000}" name="9월" totalsRowFunction="custom" dataDxfId="248" totalsRowDxfId="247">
      <totalsRowFormula>SUM(L13:L16)</totalsRowFormula>
    </tableColumn>
    <tableColumn id="12" xr3:uid="{00000000-0010-0000-0000-00000C000000}" name="10월" totalsRowFunction="custom" dataDxfId="246" totalsRowDxfId="245">
      <totalsRowFormula>SUM(M13:M16)</totalsRowFormula>
    </tableColumn>
    <tableColumn id="13" xr3:uid="{00000000-0010-0000-0000-00000D000000}" name="11월" totalsRowFunction="custom" dataDxfId="244" totalsRowDxfId="243">
      <totalsRowFormula>SUM(N13:N16)</totalsRowFormula>
    </tableColumn>
    <tableColumn id="14" xr3:uid="{00000000-0010-0000-0000-00000E000000}" name="12월" totalsRowFunction="custom" dataDxfId="242" totalsRowDxfId="241">
      <totalsRowFormula>SUM(O13:O16)</totalsRowFormula>
    </tableColumn>
  </tableColumns>
  <tableStyleInfo showFirstColumn="0" showLastColumn="0" showRowStripes="0" showColumnStripes="0"/>
  <extLst>
    <ext xmlns:x14="http://schemas.microsoft.com/office/spreadsheetml/2009/9/main" uri="{504A1905-F514-4f6f-8877-14C23A59335A}">
      <x14:table altTextSummary="항목, 요금, 총 판매액의 직접 마케팅 백분율 및 월별 금액을 입력하거나 수정합니다. 월별 합계는 자동으로 계산됩니다.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InternetMarketing" displayName="InternetMarketing" ref="B18:O27" totalsRowCount="1" headerRowDxfId="240" dataDxfId="239" totalsRowDxfId="237" tableBorderDxfId="238">
  <autoFilter ref="B18:O26" xr:uid="{00000000-0009-0000-0100-000003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00000000-0010-0000-0100-000001000000}" name="인터넷 마케팅 항목" totalsRowLabel="인터넷 마케팅 합계 \(000,000)" dataDxfId="236" totalsRowDxfId="235"/>
    <tableColumn id="2" xr3:uid="{00000000-0010-0000-0100-000002000000}" name="요율" dataDxfId="234" totalsRowDxfId="233"/>
    <tableColumn id="3" xr3:uid="{00000000-0010-0000-0100-000003000000}" name="1월" totalsRowFunction="custom" dataDxfId="232" totalsRowDxfId="231">
      <totalsRowFormula>SUM(D20:D23)</totalsRowFormula>
    </tableColumn>
    <tableColumn id="4" xr3:uid="{00000000-0010-0000-0100-000004000000}" name="2월" totalsRowFunction="custom" dataDxfId="230" totalsRowDxfId="229">
      <totalsRowFormula>SUM(E20:E23)</totalsRowFormula>
    </tableColumn>
    <tableColumn id="5" xr3:uid="{00000000-0010-0000-0100-000005000000}" name="3월" totalsRowFunction="custom" dataDxfId="228" totalsRowDxfId="227">
      <totalsRowFormula>SUM(F20:F23)</totalsRowFormula>
    </tableColumn>
    <tableColumn id="6" xr3:uid="{00000000-0010-0000-0100-000006000000}" name="4월" totalsRowFunction="custom" dataDxfId="226" totalsRowDxfId="225">
      <totalsRowFormula>SUM(G20:G23)</totalsRowFormula>
    </tableColumn>
    <tableColumn id="7" xr3:uid="{00000000-0010-0000-0100-000007000000}" name="5월" totalsRowFunction="custom" dataDxfId="224" totalsRowDxfId="223">
      <totalsRowFormula>SUM(H20:H23)</totalsRowFormula>
    </tableColumn>
    <tableColumn id="8" xr3:uid="{00000000-0010-0000-0100-000008000000}" name="6월" totalsRowFunction="custom" dataDxfId="222" totalsRowDxfId="221">
      <totalsRowFormula>SUM(I20:I23)</totalsRowFormula>
    </tableColumn>
    <tableColumn id="9" xr3:uid="{00000000-0010-0000-0100-000009000000}" name="7월" totalsRowFunction="custom" dataDxfId="220" totalsRowDxfId="219">
      <totalsRowFormula>SUM(J20:J23)</totalsRowFormula>
    </tableColumn>
    <tableColumn id="10" xr3:uid="{00000000-0010-0000-0100-00000A000000}" name="8월" totalsRowFunction="custom" dataDxfId="218" totalsRowDxfId="217">
      <totalsRowFormula>SUM(K20:K23)</totalsRowFormula>
    </tableColumn>
    <tableColumn id="11" xr3:uid="{00000000-0010-0000-0100-00000B000000}" name="9월" totalsRowFunction="custom" dataDxfId="216" totalsRowDxfId="215">
      <totalsRowFormula>SUM(L20:L23)</totalsRowFormula>
    </tableColumn>
    <tableColumn id="12" xr3:uid="{00000000-0010-0000-0100-00000C000000}" name="10월" totalsRowFunction="custom" dataDxfId="214" totalsRowDxfId="213">
      <totalsRowFormula>SUM(M20:M23)</totalsRowFormula>
    </tableColumn>
    <tableColumn id="13" xr3:uid="{00000000-0010-0000-0100-00000D000000}" name="11월" totalsRowFunction="custom" dataDxfId="212" totalsRowDxfId="211">
      <totalsRowFormula>SUM(N20:N23)</totalsRowFormula>
    </tableColumn>
    <tableColumn id="14" xr3:uid="{00000000-0010-0000-0100-00000E000000}" name="12월" totalsRowFunction="custom" dataDxfId="210" totalsRowDxfId="209">
      <totalsRowFormula>SUM(O20:O23)</totalsRowFormula>
    </tableColumn>
  </tableColumns>
  <tableStyleInfo showFirstColumn="0" showLastColumn="0" showRowStripes="0" showColumnStripes="0"/>
  <extLst>
    <ext xmlns:x14="http://schemas.microsoft.com/office/spreadsheetml/2009/9/main" uri="{504A1905-F514-4f6f-8877-14C23A59335A}">
      <x14:table altTextSummary="항목, 요금, 직접 판매의 인터넷 마케팅 백분율 및 월별 금액을 입력하거나 수정합니다. 월별 합계는 자동으로 계산됩니다.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DirectMail" displayName="DirectMail" ref="B28:O33" totalsRowCount="1" headerRowDxfId="208" dataDxfId="207" totalsRowDxfId="205" tableBorderDxfId="206">
  <autoFilter ref="B28:O32" xr:uid="{00000000-0009-0000-0100-000004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00000000-0010-0000-0200-000001000000}" name="다이렉트 메일 항목" totalsRowLabel="다이렉트 메일 합계 \(000,000)" dataDxfId="204" totalsRowDxfId="203"/>
    <tableColumn id="2" xr3:uid="{00000000-0010-0000-0200-000002000000}" name="요율" dataDxfId="202" totalsRowDxfId="201"/>
    <tableColumn id="3" xr3:uid="{00000000-0010-0000-0200-000003000000}" name="1월" totalsRowFunction="custom" dataDxfId="200" totalsRowDxfId="199">
      <totalsRowFormula>SUM(D30:D32)</totalsRowFormula>
    </tableColumn>
    <tableColumn id="4" xr3:uid="{00000000-0010-0000-0200-000004000000}" name="2월" totalsRowFunction="custom" dataDxfId="198" totalsRowDxfId="197">
      <totalsRowFormula>SUM(E30:E32)</totalsRowFormula>
    </tableColumn>
    <tableColumn id="5" xr3:uid="{00000000-0010-0000-0200-000005000000}" name="3월" totalsRowFunction="custom" dataDxfId="196" totalsRowDxfId="195">
      <totalsRowFormula>SUM(F30:F32)</totalsRowFormula>
    </tableColumn>
    <tableColumn id="6" xr3:uid="{00000000-0010-0000-0200-000006000000}" name="4월" totalsRowFunction="custom" dataDxfId="194" totalsRowDxfId="193">
      <totalsRowFormula>SUM(G30:G32)</totalsRowFormula>
    </tableColumn>
    <tableColumn id="7" xr3:uid="{00000000-0010-0000-0200-000007000000}" name="5월" totalsRowFunction="custom" dataDxfId="192" totalsRowDxfId="191">
      <totalsRowFormula>SUM(H30:H32)</totalsRowFormula>
    </tableColumn>
    <tableColumn id="8" xr3:uid="{00000000-0010-0000-0200-000008000000}" name="6월" totalsRowFunction="custom" dataDxfId="190" totalsRowDxfId="189">
      <totalsRowFormula>SUM(I30:I32)</totalsRowFormula>
    </tableColumn>
    <tableColumn id="9" xr3:uid="{00000000-0010-0000-0200-000009000000}" name="7월" totalsRowFunction="custom" dataDxfId="188" totalsRowDxfId="187">
      <totalsRowFormula>SUM(J30:J32)</totalsRowFormula>
    </tableColumn>
    <tableColumn id="10" xr3:uid="{00000000-0010-0000-0200-00000A000000}" name="8월" totalsRowFunction="custom" dataDxfId="186" totalsRowDxfId="185">
      <totalsRowFormula>SUM(K30:K32)</totalsRowFormula>
    </tableColumn>
    <tableColumn id="11" xr3:uid="{00000000-0010-0000-0200-00000B000000}" name="9월" totalsRowFunction="custom" dataDxfId="184" totalsRowDxfId="183">
      <totalsRowFormula>SUM(L30:L32)</totalsRowFormula>
    </tableColumn>
    <tableColumn id="12" xr3:uid="{00000000-0010-0000-0200-00000C000000}" name="10월" totalsRowFunction="custom" dataDxfId="182" totalsRowDxfId="181">
      <totalsRowFormula>SUM(M30:M32)</totalsRowFormula>
    </tableColumn>
    <tableColumn id="13" xr3:uid="{00000000-0010-0000-0200-00000D000000}" name="11월" totalsRowFunction="custom" dataDxfId="180" totalsRowDxfId="179">
      <totalsRowFormula>SUM(N30:N32)</totalsRowFormula>
    </tableColumn>
    <tableColumn id="14" xr3:uid="{00000000-0010-0000-0200-00000E000000}" name="12월" totalsRowFunction="custom" dataDxfId="178" totalsRowDxfId="177">
      <totalsRowFormula>SUM(O30:O32)</totalsRowFormula>
    </tableColumn>
  </tableColumns>
  <tableStyleInfo showFirstColumn="0" showLastColumn="0" showRowStripes="0" showColumnStripes="0"/>
  <extLst>
    <ext xmlns:x14="http://schemas.microsoft.com/office/spreadsheetml/2009/9/main" uri="{504A1905-F514-4f6f-8877-14C23A59335A}">
      <x14:table altTextSummary="항목, 요금, 직접 판매의 다이렉트 메일 백분율 및 월별 금액을 입력하거나 수정합니다. 월별 합계는 자동으로 계산됩니다.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AgentAndBroker" displayName="AgentAndBroker" ref="B35:O42" totalsRowCount="1" headerRowDxfId="176" dataDxfId="175" totalsRowDxfId="173" tableBorderDxfId="174">
  <autoFilter ref="B35:O41" xr:uid="{00000000-0009-0000-0100-000005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00000000-0010-0000-0300-000001000000}" name="에이전트/브로커 항목" totalsRowLabel="에이전트/브로커 합계 \(000,000)" dataDxfId="172" totalsRowDxfId="171"/>
    <tableColumn id="2" xr3:uid="{00000000-0010-0000-0300-000002000000}" name="요율" dataDxfId="170" totalsRowDxfId="169"/>
    <tableColumn id="3" xr3:uid="{00000000-0010-0000-0300-000003000000}" name="1월" totalsRowFunction="custom" dataDxfId="168" totalsRowDxfId="167">
      <totalsRowFormula>SUM(D37:D41)</totalsRowFormula>
    </tableColumn>
    <tableColumn id="4" xr3:uid="{00000000-0010-0000-0300-000004000000}" name="2월" totalsRowFunction="custom" dataDxfId="166" totalsRowDxfId="165">
      <totalsRowFormula>SUM(E37:E41)</totalsRowFormula>
    </tableColumn>
    <tableColumn id="5" xr3:uid="{00000000-0010-0000-0300-000005000000}" name="3월" totalsRowFunction="custom" dataDxfId="164" totalsRowDxfId="163">
      <totalsRowFormula>SUM(F37:F41)</totalsRowFormula>
    </tableColumn>
    <tableColumn id="6" xr3:uid="{00000000-0010-0000-0300-000006000000}" name="4월" totalsRowFunction="custom" dataDxfId="162" totalsRowDxfId="161">
      <totalsRowFormula>SUM(G37:G41)</totalsRowFormula>
    </tableColumn>
    <tableColumn id="7" xr3:uid="{00000000-0010-0000-0300-000007000000}" name="5월" totalsRowFunction="custom" dataDxfId="160" totalsRowDxfId="159">
      <totalsRowFormula>SUM(H37:H41)</totalsRowFormula>
    </tableColumn>
    <tableColumn id="8" xr3:uid="{00000000-0010-0000-0300-000008000000}" name="6월" totalsRowFunction="custom" dataDxfId="158" totalsRowDxfId="157">
      <totalsRowFormula>SUM(I37:I41)</totalsRowFormula>
    </tableColumn>
    <tableColumn id="9" xr3:uid="{00000000-0010-0000-0300-000009000000}" name="7월" totalsRowFunction="custom" dataDxfId="156" totalsRowDxfId="155">
      <totalsRowFormula>SUM(J37:J41)</totalsRowFormula>
    </tableColumn>
    <tableColumn id="10" xr3:uid="{00000000-0010-0000-0300-00000A000000}" name="8월" totalsRowFunction="custom" dataDxfId="154" totalsRowDxfId="153">
      <totalsRowFormula>SUM(K37:K41)</totalsRowFormula>
    </tableColumn>
    <tableColumn id="11" xr3:uid="{00000000-0010-0000-0300-00000B000000}" name="9월" totalsRowFunction="custom" dataDxfId="152" totalsRowDxfId="151">
      <totalsRowFormula>SUM(L37:L41)</totalsRowFormula>
    </tableColumn>
    <tableColumn id="12" xr3:uid="{00000000-0010-0000-0300-00000C000000}" name="10월" totalsRowFunction="custom" dataDxfId="150" totalsRowDxfId="149">
      <totalsRowFormula>SUM(M37:M41)</totalsRowFormula>
    </tableColumn>
    <tableColumn id="13" xr3:uid="{00000000-0010-0000-0300-00000D000000}" name="11월" totalsRowFunction="custom" dataDxfId="148" totalsRowDxfId="147">
      <totalsRowFormula>SUM(N37:N41)</totalsRowFormula>
    </tableColumn>
    <tableColumn id="14" xr3:uid="{00000000-0010-0000-0300-00000E000000}" name="12월" totalsRowFunction="custom" dataDxfId="146" totalsRowDxfId="145">
      <totalsRowFormula>SUM(O37:O41)</totalsRowFormula>
    </tableColumn>
  </tableColumns>
  <tableStyleInfo showFirstColumn="0" showLastColumn="0" showRowStripes="0" showColumnStripes="0"/>
  <extLst>
    <ext xmlns:x14="http://schemas.microsoft.com/office/spreadsheetml/2009/9/main" uri="{504A1905-F514-4f6f-8877-14C23A59335A}">
      <x14:table altTextSummary="항목, 요금, 총 판매액의 에이전트 및 브로커 백분율 및 월별 금액을 입력하거나 수정합니다. 월별 합계는 자동으로 계산됩니다.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Dstributors" displayName="Dstributors" ref="B43:O49" totalsRowCount="1" headerRowDxfId="144" dataDxfId="143" totalsRowDxfId="141" tableBorderDxfId="142">
  <autoFilter ref="B43:O48" xr:uid="{00000000-0009-0000-0100-000006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00000000-0010-0000-0400-000001000000}" name="배포자 항목" totalsRowLabel="유통업체 합계 \(000,000)" dataDxfId="140" totalsRowDxfId="139"/>
    <tableColumn id="2" xr3:uid="{00000000-0010-0000-0400-000002000000}" name="요율" dataDxfId="138" totalsRowDxfId="137"/>
    <tableColumn id="3" xr3:uid="{00000000-0010-0000-0400-000003000000}" name="1월" totalsRowFunction="custom" dataDxfId="136" totalsRowDxfId="135">
      <totalsRowFormula>SUM(D45:D48)</totalsRowFormula>
    </tableColumn>
    <tableColumn id="4" xr3:uid="{00000000-0010-0000-0400-000004000000}" name="2월" totalsRowFunction="custom" dataDxfId="134" totalsRowDxfId="133">
      <totalsRowFormula>SUM(E45:E48)</totalsRowFormula>
    </tableColumn>
    <tableColumn id="5" xr3:uid="{00000000-0010-0000-0400-000005000000}" name="3월" totalsRowFunction="custom" dataDxfId="132" totalsRowDxfId="131">
      <totalsRowFormula>SUM(F45:F48)</totalsRowFormula>
    </tableColumn>
    <tableColumn id="6" xr3:uid="{00000000-0010-0000-0400-000006000000}" name="4월" totalsRowFunction="custom" dataDxfId="130" totalsRowDxfId="129">
      <totalsRowFormula>SUM(G45:G48)</totalsRowFormula>
    </tableColumn>
    <tableColumn id="7" xr3:uid="{00000000-0010-0000-0400-000007000000}" name="5월" totalsRowFunction="custom" dataDxfId="128" totalsRowDxfId="127">
      <totalsRowFormula>SUM(H45:H48)</totalsRowFormula>
    </tableColumn>
    <tableColumn id="8" xr3:uid="{00000000-0010-0000-0400-000008000000}" name="6월" totalsRowFunction="custom" dataDxfId="126" totalsRowDxfId="125">
      <totalsRowFormula>SUM(I45:I48)</totalsRowFormula>
    </tableColumn>
    <tableColumn id="9" xr3:uid="{00000000-0010-0000-0400-000009000000}" name="7월" totalsRowFunction="custom" dataDxfId="124" totalsRowDxfId="123">
      <totalsRowFormula>SUM(J45:J48)</totalsRowFormula>
    </tableColumn>
    <tableColumn id="10" xr3:uid="{00000000-0010-0000-0400-00000A000000}" name="8월" totalsRowFunction="custom" dataDxfId="122" totalsRowDxfId="121">
      <totalsRowFormula>SUM(K45:K48)</totalsRowFormula>
    </tableColumn>
    <tableColumn id="11" xr3:uid="{00000000-0010-0000-0400-00000B000000}" name="9월" totalsRowFunction="custom" dataDxfId="120" totalsRowDxfId="119">
      <totalsRowFormula>SUM(L45:L48)</totalsRowFormula>
    </tableColumn>
    <tableColumn id="12" xr3:uid="{00000000-0010-0000-0400-00000C000000}" name="10월" totalsRowFunction="custom" dataDxfId="118" totalsRowDxfId="117">
      <totalsRowFormula>SUM(M45:M48)</totalsRowFormula>
    </tableColumn>
    <tableColumn id="13" xr3:uid="{00000000-0010-0000-0400-00000D000000}" name="11월" totalsRowFunction="custom" dataDxfId="116" totalsRowDxfId="115">
      <totalsRowFormula>SUM(N45:N48)</totalsRowFormula>
    </tableColumn>
    <tableColumn id="14" xr3:uid="{00000000-0010-0000-0400-00000E000000}" name="12월" totalsRowFunction="custom" dataDxfId="114" totalsRowDxfId="113">
      <totalsRowFormula>SUM(O45:O48)</totalsRowFormula>
    </tableColumn>
  </tableColumns>
  <tableStyleInfo showFirstColumn="0" showLastColumn="0" showRowStripes="0" showColumnStripes="0"/>
  <extLst>
    <ext xmlns:x14="http://schemas.microsoft.com/office/spreadsheetml/2009/9/main" uri="{504A1905-F514-4f6f-8877-14C23A59335A}">
      <x14:table altTextSummary="항목, 요금, 총 판매액의 배포자 비율 및 월별 금액을 입력하거나 수정합니다. 월별 합계는 자동으로 계산됩니다.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Retailer" displayName="Retailer" ref="B50:O56" totalsRowCount="1" headerRowDxfId="112" dataDxfId="111" totalsRowDxfId="109" tableBorderDxfId="110">
  <autoFilter ref="B50:O55" xr:uid="{00000000-0009-0000-0100-000007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00000000-0010-0000-0500-000001000000}" name="소매 항목" totalsRowLabel="대리점 합계 \(000,000)" dataDxfId="108" totalsRowDxfId="107"/>
    <tableColumn id="2" xr3:uid="{00000000-0010-0000-0500-000002000000}" name="요율" dataDxfId="106" totalsRowDxfId="105"/>
    <tableColumn id="3" xr3:uid="{00000000-0010-0000-0500-000003000000}" name="1월" totalsRowFunction="custom" dataDxfId="104" totalsRowDxfId="103">
      <totalsRowFormula>SUM(D52:D55)</totalsRowFormula>
    </tableColumn>
    <tableColumn id="4" xr3:uid="{00000000-0010-0000-0500-000004000000}" name="2월" totalsRowFunction="custom" dataDxfId="102" totalsRowDxfId="101">
      <totalsRowFormula>SUM(E52:E55)</totalsRowFormula>
    </tableColumn>
    <tableColumn id="5" xr3:uid="{00000000-0010-0000-0500-000005000000}" name="3월" totalsRowFunction="custom" dataDxfId="100" totalsRowDxfId="99">
      <totalsRowFormula>SUM(F52:F55)</totalsRowFormula>
    </tableColumn>
    <tableColumn id="6" xr3:uid="{00000000-0010-0000-0500-000006000000}" name="4월" totalsRowFunction="custom" dataDxfId="98" totalsRowDxfId="97">
      <totalsRowFormula>SUM(G52:G55)</totalsRowFormula>
    </tableColumn>
    <tableColumn id="7" xr3:uid="{00000000-0010-0000-0500-000007000000}" name="5월" totalsRowFunction="custom" dataDxfId="96" totalsRowDxfId="95">
      <totalsRowFormula>SUM(H52:H55)</totalsRowFormula>
    </tableColumn>
    <tableColumn id="8" xr3:uid="{00000000-0010-0000-0500-000008000000}" name="6월" totalsRowFunction="custom" dataDxfId="94" totalsRowDxfId="93">
      <totalsRowFormula>SUM(I52:I55)</totalsRowFormula>
    </tableColumn>
    <tableColumn id="9" xr3:uid="{00000000-0010-0000-0500-000009000000}" name="7월" totalsRowFunction="custom" dataDxfId="92" totalsRowDxfId="91">
      <totalsRowFormula>SUM(J52:J55)</totalsRowFormula>
    </tableColumn>
    <tableColumn id="10" xr3:uid="{00000000-0010-0000-0500-00000A000000}" name="8월" totalsRowFunction="custom" dataDxfId="90" totalsRowDxfId="89">
      <totalsRowFormula>SUM(K52:K55)</totalsRowFormula>
    </tableColumn>
    <tableColumn id="11" xr3:uid="{00000000-0010-0000-0500-00000B000000}" name="9월" totalsRowFunction="custom" dataDxfId="88" totalsRowDxfId="87">
      <totalsRowFormula>SUM(L52:L55)</totalsRowFormula>
    </tableColumn>
    <tableColumn id="12" xr3:uid="{00000000-0010-0000-0500-00000C000000}" name="10월" totalsRowFunction="custom" dataDxfId="86" totalsRowDxfId="85">
      <totalsRowFormula>SUM(M52:M55)</totalsRowFormula>
    </tableColumn>
    <tableColumn id="13" xr3:uid="{00000000-0010-0000-0500-00000D000000}" name="11월" totalsRowFunction="custom" dataDxfId="84" totalsRowDxfId="83">
      <totalsRowFormula>SUM(N52:N55)</totalsRowFormula>
    </tableColumn>
    <tableColumn id="14" xr3:uid="{00000000-0010-0000-0500-00000E000000}" name="12월" totalsRowFunction="custom" dataDxfId="82" totalsRowDxfId="81">
      <totalsRowFormula>SUM(O52:O55)</totalsRowFormula>
    </tableColumn>
  </tableColumns>
  <tableStyleInfo showFirstColumn="0" showLastColumn="0" showRowStripes="0" showColumnStripes="0"/>
  <extLst>
    <ext xmlns:x14="http://schemas.microsoft.com/office/spreadsheetml/2009/9/main" uri="{504A1905-F514-4f6f-8877-14C23A59335A}">
      <x14:table altTextSummary="항목, 요금, 소매점 총 판매액의 백분율 및 월별 금액을 입력하거나 수정합니다. 월별 합계는 자동으로 계산됩니다."/>
    </ext>
  </extLst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CAR" displayName="CAR" ref="B57:O62" totalsRowCount="1" headerRowDxfId="80" dataDxfId="79" totalsRowDxfId="77" tableBorderDxfId="78">
  <autoFilter ref="B57:O61" xr:uid="{00000000-0009-0000-0100-000008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00000000-0010-0000-0600-000001000000}" name="고객 요구 사항 및 보존(자동차) 항목" totalsRowLabel="고객 확보/유지 합계 \(000,000)" dataDxfId="76" totalsRowDxfId="75"/>
    <tableColumn id="2" xr3:uid="{00000000-0010-0000-0600-000002000000}" name="요율" dataDxfId="74" totalsRowDxfId="73"/>
    <tableColumn id="3" xr3:uid="{00000000-0010-0000-0600-000003000000}" name="1월" totalsRowFunction="custom" dataDxfId="72" totalsRowDxfId="71">
      <totalsRowFormula>SUM(D59:D61)</totalsRowFormula>
    </tableColumn>
    <tableColumn id="4" xr3:uid="{00000000-0010-0000-0600-000004000000}" name="2월" totalsRowFunction="custom" dataDxfId="70" totalsRowDxfId="69">
      <totalsRowFormula>SUM(E59:E61)</totalsRowFormula>
    </tableColumn>
    <tableColumn id="5" xr3:uid="{00000000-0010-0000-0600-000005000000}" name="3월" totalsRowFunction="custom" dataDxfId="68" totalsRowDxfId="67">
      <totalsRowFormula>SUM(F59:F61)</totalsRowFormula>
    </tableColumn>
    <tableColumn id="6" xr3:uid="{00000000-0010-0000-0600-000006000000}" name="4월" totalsRowFunction="custom" dataDxfId="66" totalsRowDxfId="65">
      <totalsRowFormula>SUM(G59:G61)</totalsRowFormula>
    </tableColumn>
    <tableColumn id="7" xr3:uid="{00000000-0010-0000-0600-000007000000}" name="5월" totalsRowFunction="custom" dataDxfId="64" totalsRowDxfId="63">
      <totalsRowFormula>SUM(H59:H61)</totalsRowFormula>
    </tableColumn>
    <tableColumn id="8" xr3:uid="{00000000-0010-0000-0600-000008000000}" name="6월" totalsRowFunction="custom" dataDxfId="62" totalsRowDxfId="61">
      <totalsRowFormula>SUM(I59:I61)</totalsRowFormula>
    </tableColumn>
    <tableColumn id="9" xr3:uid="{00000000-0010-0000-0600-000009000000}" name="7월" totalsRowFunction="custom" dataDxfId="60" totalsRowDxfId="59">
      <totalsRowFormula>SUM(J59:J61)</totalsRowFormula>
    </tableColumn>
    <tableColumn id="10" xr3:uid="{00000000-0010-0000-0600-00000A000000}" name="8월" totalsRowFunction="custom" dataDxfId="58" totalsRowDxfId="57">
      <totalsRowFormula>SUM(K59:K61)</totalsRowFormula>
    </tableColumn>
    <tableColumn id="11" xr3:uid="{00000000-0010-0000-0600-00000B000000}" name="9월" totalsRowFunction="custom" dataDxfId="56" totalsRowDxfId="55">
      <totalsRowFormula>SUM(L59:L61)</totalsRowFormula>
    </tableColumn>
    <tableColumn id="12" xr3:uid="{00000000-0010-0000-0600-00000C000000}" name="10월" totalsRowFunction="custom" dataDxfId="54" totalsRowDxfId="53">
      <totalsRowFormula>SUM(M59:M61)</totalsRowFormula>
    </tableColumn>
    <tableColumn id="13" xr3:uid="{00000000-0010-0000-0600-00000D000000}" name="11월" totalsRowFunction="custom" dataDxfId="52" totalsRowDxfId="51">
      <totalsRowFormula>SUM(N59:N61)</totalsRowFormula>
    </tableColumn>
    <tableColumn id="14" xr3:uid="{00000000-0010-0000-0600-00000E000000}" name="12월" totalsRowFunction="custom" dataDxfId="50" totalsRowDxfId="49">
      <totalsRowFormula>SUM(O59:O61)</totalsRowFormula>
    </tableColumn>
  </tableColumns>
  <tableStyleInfo showFirstColumn="0" showLastColumn="0" showRowStripes="0" showColumnStripes="0"/>
  <extLst>
    <ext xmlns:x14="http://schemas.microsoft.com/office/spreadsheetml/2009/9/main" uri="{504A1905-F514-4f6f-8877-14C23A59335A}">
      <x14:table altTextSummary="항목, 요금 및 월별 금액을 입력하거나 수정합니다. 월별 합계는 자동으로 계산됩니다."/>
    </ext>
  </extLst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7000000}" name="OtherExpenses" displayName="OtherExpenses" ref="B63:O68" totalsRowCount="1" headerRowDxfId="48" dataDxfId="47" totalsRowDxfId="45" tableBorderDxfId="46">
  <autoFilter ref="B63:O67" xr:uid="{00000000-0009-0000-0100-000009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00000000-0010-0000-0700-000001000000}" name="기타 경비 항목" totalsRowLabel="기타 경비 합계 \(000,000)" dataDxfId="44" totalsRowDxfId="43"/>
    <tableColumn id="2" xr3:uid="{00000000-0010-0000-0700-000002000000}" name="요율" dataDxfId="42" totalsRowDxfId="41"/>
    <tableColumn id="3" xr3:uid="{00000000-0010-0000-0700-000003000000}" name="1월" totalsRowFunction="custom" dataDxfId="40" totalsRowDxfId="39">
      <totalsRowFormula>SUM(D65:D67)</totalsRowFormula>
    </tableColumn>
    <tableColumn id="4" xr3:uid="{00000000-0010-0000-0700-000004000000}" name="2월" totalsRowFunction="custom" dataDxfId="38" totalsRowDxfId="37">
      <totalsRowFormula>SUM(E65:E67)</totalsRowFormula>
    </tableColumn>
    <tableColumn id="5" xr3:uid="{00000000-0010-0000-0700-000005000000}" name="3월" totalsRowFunction="custom" dataDxfId="36" totalsRowDxfId="35">
      <totalsRowFormula>SUM(F65:F67)</totalsRowFormula>
    </tableColumn>
    <tableColumn id="6" xr3:uid="{00000000-0010-0000-0700-000006000000}" name="4월" totalsRowFunction="custom" dataDxfId="34" totalsRowDxfId="33">
      <totalsRowFormula>SUM(G65:G67)</totalsRowFormula>
    </tableColumn>
    <tableColumn id="7" xr3:uid="{00000000-0010-0000-0700-000007000000}" name="5월" totalsRowFunction="custom" dataDxfId="32" totalsRowDxfId="31">
      <totalsRowFormula>SUM(H65:H67)</totalsRowFormula>
    </tableColumn>
    <tableColumn id="8" xr3:uid="{00000000-0010-0000-0700-000008000000}" name="6월" totalsRowFunction="custom" dataDxfId="30" totalsRowDxfId="29">
      <totalsRowFormula>SUM(I65:I67)</totalsRowFormula>
    </tableColumn>
    <tableColumn id="9" xr3:uid="{00000000-0010-0000-0700-000009000000}" name="7월" totalsRowFunction="custom" dataDxfId="28" totalsRowDxfId="27">
      <totalsRowFormula>SUM(J65:J67)</totalsRowFormula>
    </tableColumn>
    <tableColumn id="10" xr3:uid="{00000000-0010-0000-0700-00000A000000}" name="8월" totalsRowFunction="custom" dataDxfId="26" totalsRowDxfId="25">
      <totalsRowFormula>SUM(K65:K67)</totalsRowFormula>
    </tableColumn>
    <tableColumn id="11" xr3:uid="{00000000-0010-0000-0700-00000B000000}" name="9월" totalsRowFunction="custom" dataDxfId="24" totalsRowDxfId="23">
      <totalsRowFormula>SUM(L65:L67)</totalsRowFormula>
    </tableColumn>
    <tableColumn id="12" xr3:uid="{00000000-0010-0000-0700-00000C000000}" name="10월" totalsRowFunction="custom" dataDxfId="22" totalsRowDxfId="21">
      <totalsRowFormula>SUM(M65:M67)</totalsRowFormula>
    </tableColumn>
    <tableColumn id="13" xr3:uid="{00000000-0010-0000-0700-00000D000000}" name="11월" totalsRowFunction="custom" dataDxfId="20" totalsRowDxfId="19">
      <totalsRowFormula>SUM(N65:N67)</totalsRowFormula>
    </tableColumn>
    <tableColumn id="14" xr3:uid="{00000000-0010-0000-0700-00000E000000}" name="12월" totalsRowFunction="custom" dataDxfId="18" totalsRowDxfId="17">
      <totalsRowFormula>SUM(O65:O67)</totalsRowFormula>
    </tableColumn>
  </tableColumns>
  <tableStyleInfo showFirstColumn="0" showLastColumn="0" showRowStripes="0" showColumnStripes="0"/>
  <extLst>
    <ext xmlns:x14="http://schemas.microsoft.com/office/spreadsheetml/2009/9/main" uri="{504A1905-F514-4f6f-8877-14C23A59335A}">
      <x14:table altTextSummary="기타 경비 항목, 요금 및 월별 금액을 입력하거나 수정합니다. 월별 합계는 자동으로 계산됩니다."/>
    </ext>
  </extLst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8000000}" name="Personnel" displayName="Personnel" ref="B4:O9" totalsRowShown="0" headerRowDxfId="16" dataDxfId="15" tableBorderDxfId="14">
  <autoFilter ref="B4:O9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00000000-0010-0000-0800-000001000000}" name="인건비 항목" dataDxfId="13"/>
    <tableColumn id="2" xr3:uid="{00000000-0010-0000-0800-000002000000}" name="요율" dataDxfId="12"/>
    <tableColumn id="3" xr3:uid="{00000000-0010-0000-0800-000003000000}" name="1월" dataDxfId="11"/>
    <tableColumn id="4" xr3:uid="{00000000-0010-0000-0800-000004000000}" name="2월" dataDxfId="10"/>
    <tableColumn id="5" xr3:uid="{00000000-0010-0000-0800-000005000000}" name="3월" dataDxfId="9"/>
    <tableColumn id="6" xr3:uid="{00000000-0010-0000-0800-000006000000}" name="4월" dataDxfId="8"/>
    <tableColumn id="7" xr3:uid="{00000000-0010-0000-0800-000007000000}" name="5월" dataDxfId="7"/>
    <tableColumn id="8" xr3:uid="{00000000-0010-0000-0800-000008000000}" name="6월" dataDxfId="6"/>
    <tableColumn id="9" xr3:uid="{00000000-0010-0000-0800-000009000000}" name="7월" dataDxfId="5"/>
    <tableColumn id="10" xr3:uid="{00000000-0010-0000-0800-00000A000000}" name="8월" dataDxfId="4"/>
    <tableColumn id="11" xr3:uid="{00000000-0010-0000-0800-00000B000000}" name="9월" dataDxfId="3"/>
    <tableColumn id="12" xr3:uid="{00000000-0010-0000-0800-00000C000000}" name="10월" dataDxfId="2"/>
    <tableColumn id="13" xr3:uid="{00000000-0010-0000-0800-00000D000000}" name="11월" dataDxfId="1"/>
    <tableColumn id="14" xr3:uid="{00000000-0010-0000-0800-00000E000000}" name="12월" dataDxfId="0"/>
  </tableColumns>
  <tableStyleInfo showFirstColumn="0" showLastColumn="0" showRowStripes="0" showColumnStripes="0"/>
  <extLst>
    <ext xmlns:x14="http://schemas.microsoft.com/office/spreadsheetml/2009/9/main" uri="{504A1905-F514-4f6f-8877-14C23A59335A}">
      <x14:table altTextSummary="항목 및 요금을 입력하거나 수정합니다. 월별 금액, 총 매출의 직원 비율 및 월별 합계가 자동으로 계산됩니다."/>
    </ext>
  </extLst>
</table>
</file>

<file path=xl/theme/theme1.xml><?xml version="1.0" encoding="utf-8"?>
<a:theme xmlns:a="http://schemas.openxmlformats.org/drawingml/2006/main" name="Office Theme">
  <a:themeElements>
    <a:clrScheme name="Custom 127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06496B"/>
      </a:accent1>
      <a:accent2>
        <a:srgbClr val="327270"/>
      </a:accent2>
      <a:accent3>
        <a:srgbClr val="78BD9B"/>
      </a:accent3>
      <a:accent4>
        <a:srgbClr val="E2EEC0"/>
      </a:accent4>
      <a:accent5>
        <a:srgbClr val="A9D7A8"/>
      </a:accent5>
      <a:accent6>
        <a:srgbClr val="D26C6C"/>
      </a:accent6>
      <a:hlink>
        <a:srgbClr val="46A0C9"/>
      </a:hlink>
      <a:folHlink>
        <a:srgbClr val="9A60A2"/>
      </a:folHlink>
    </a:clrScheme>
    <a:fontScheme name="Custom 37">
      <a:majorFont>
        <a:latin typeface="Franklin Gothic Medium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5" Type="http://schemas.openxmlformats.org/officeDocument/2006/relationships/table" Target="../tables/table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-0.499984740745262"/>
  </sheetPr>
  <dimension ref="B1:B7"/>
  <sheetViews>
    <sheetView showGridLines="0" zoomScale="130" zoomScaleNormal="130" zoomScalePageLayoutView="130" workbookViewId="0"/>
  </sheetViews>
  <sheetFormatPr defaultColWidth="8.7109375" defaultRowHeight="13.5"/>
  <cols>
    <col min="1" max="1" width="2.7109375" customWidth="1"/>
    <col min="2" max="2" width="80.7109375" customWidth="1"/>
    <col min="3" max="3" width="2.7109375" customWidth="1"/>
  </cols>
  <sheetData>
    <row r="1" spans="2:2" ht="26.25">
      <c r="B1" s="1" t="s">
        <v>0</v>
      </c>
    </row>
    <row r="2" spans="2:2" ht="30" customHeight="1">
      <c r="B2" s="2" t="s">
        <v>1</v>
      </c>
    </row>
    <row r="3" spans="2:2" ht="30" customHeight="1">
      <c r="B3" s="2" t="s">
        <v>2</v>
      </c>
    </row>
    <row r="4" spans="2:2" ht="30" customHeight="1">
      <c r="B4" s="2" t="s">
        <v>3</v>
      </c>
    </row>
    <row r="5" spans="2:2" ht="35.25" customHeight="1">
      <c r="B5" s="3" t="s">
        <v>4</v>
      </c>
    </row>
    <row r="6" spans="2:2" ht="49.5">
      <c r="B6" s="2" t="s">
        <v>5</v>
      </c>
    </row>
    <row r="7" spans="2:2" ht="42.75" customHeight="1">
      <c r="B7" s="2" t="s">
        <v>6</v>
      </c>
    </row>
  </sheetData>
  <phoneticPr fontId="79" type="noConversion"/>
  <pageMargins left="0.7" right="0.7" top="0.75" bottom="0.75" header="0.3" footer="0.3"/>
  <pageSetup paperSize="9" orientation="portrait" r:id="rId1"/>
  <colBreaks count="1" manualBreakCount="1">
    <brk id="1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/>
    <pageSetUpPr fitToPage="1"/>
  </sheetPr>
  <dimension ref="A1:U70"/>
  <sheetViews>
    <sheetView showGridLines="0" tabSelected="1" zoomScale="55" zoomScaleNormal="55" zoomScalePageLayoutView="92" workbookViewId="0">
      <pane ySplit="3" topLeftCell="A4" activePane="bottomLeft" state="frozen"/>
      <selection pane="bottomLeft" activeCell="D5" sqref="D5"/>
    </sheetView>
  </sheetViews>
  <sheetFormatPr defaultColWidth="8.7109375" defaultRowHeight="19.5" customHeight="1"/>
  <cols>
    <col min="1" max="1" width="2.140625" style="115" customWidth="1"/>
    <col min="2" max="2" width="82.28515625" style="116" customWidth="1"/>
    <col min="3" max="15" width="17.42578125" style="117" customWidth="1"/>
    <col min="16" max="16" width="0.7109375" style="117" hidden="1" customWidth="1"/>
    <col min="17" max="17" width="17" style="117" customWidth="1"/>
    <col min="18" max="18" width="2.28515625" style="117" customWidth="1"/>
    <col min="19" max="19" width="19.140625" style="117" customWidth="1"/>
    <col min="20" max="20" width="2.28515625" style="117" customWidth="1"/>
    <col min="21" max="16384" width="8.7109375" style="105"/>
  </cols>
  <sheetData>
    <row r="1" spans="1:21" ht="193.9" customHeight="1">
      <c r="A1" s="4" t="s">
        <v>7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5"/>
    </row>
    <row r="2" spans="1:21" s="106" customFormat="1" ht="49.9" customHeight="1">
      <c r="A2" s="6" t="s">
        <v>8</v>
      </c>
      <c r="B2" s="7" t="s">
        <v>21</v>
      </c>
      <c r="C2" s="8" t="s">
        <v>78</v>
      </c>
      <c r="D2" s="8" t="s">
        <v>79</v>
      </c>
      <c r="E2" s="8" t="s">
        <v>80</v>
      </c>
      <c r="F2" s="8" t="s">
        <v>81</v>
      </c>
      <c r="G2" s="8" t="s">
        <v>82</v>
      </c>
      <c r="H2" s="8" t="s">
        <v>83</v>
      </c>
      <c r="I2" s="8" t="s">
        <v>84</v>
      </c>
      <c r="J2" s="8" t="s">
        <v>85</v>
      </c>
      <c r="K2" s="8" t="s">
        <v>86</v>
      </c>
      <c r="L2" s="8" t="s">
        <v>87</v>
      </c>
      <c r="M2" s="8" t="s">
        <v>88</v>
      </c>
      <c r="N2" s="8" t="s">
        <v>89</v>
      </c>
      <c r="O2" s="8" t="s">
        <v>90</v>
      </c>
      <c r="P2" s="9"/>
      <c r="Q2" s="192" t="s">
        <v>91</v>
      </c>
      <c r="R2" s="193"/>
      <c r="S2" s="193"/>
      <c r="T2" s="193"/>
      <c r="U2" s="10"/>
    </row>
    <row r="3" spans="1:21" s="107" customFormat="1" ht="49.9" customHeight="1">
      <c r="A3" s="11" t="s">
        <v>9</v>
      </c>
      <c r="B3" s="12" t="s">
        <v>22</v>
      </c>
      <c r="C3" s="13" t="s">
        <v>21</v>
      </c>
      <c r="D3" s="118">
        <v>790</v>
      </c>
      <c r="E3" s="118">
        <v>200</v>
      </c>
      <c r="F3" s="118">
        <v>500</v>
      </c>
      <c r="G3" s="118">
        <v>1500</v>
      </c>
      <c r="H3" s="118">
        <v>1200</v>
      </c>
      <c r="I3" s="118">
        <v>1500</v>
      </c>
      <c r="J3" s="118">
        <v>1500</v>
      </c>
      <c r="K3" s="118">
        <v>1800</v>
      </c>
      <c r="L3" s="118">
        <v>2000</v>
      </c>
      <c r="M3" s="118">
        <v>2000</v>
      </c>
      <c r="N3" s="118">
        <v>2000</v>
      </c>
      <c r="O3" s="118">
        <v>2000</v>
      </c>
      <c r="P3" s="14"/>
      <c r="Q3" s="194">
        <f>SUM(D3:O3)</f>
        <v>16990</v>
      </c>
      <c r="R3" s="195"/>
      <c r="S3" s="195"/>
      <c r="T3" s="195"/>
      <c r="U3" s="15"/>
    </row>
    <row r="4" spans="1:21" s="108" customFormat="1" ht="15" hidden="1" customHeight="1">
      <c r="A4" s="16" t="s">
        <v>10</v>
      </c>
      <c r="B4" s="17" t="s">
        <v>23</v>
      </c>
      <c r="C4" s="18" t="s">
        <v>78</v>
      </c>
      <c r="D4" s="18" t="s">
        <v>79</v>
      </c>
      <c r="E4" s="18" t="s">
        <v>80</v>
      </c>
      <c r="F4" s="18" t="s">
        <v>81</v>
      </c>
      <c r="G4" s="18" t="s">
        <v>82</v>
      </c>
      <c r="H4" s="18" t="s">
        <v>83</v>
      </c>
      <c r="I4" s="18" t="s">
        <v>84</v>
      </c>
      <c r="J4" s="18" t="s">
        <v>85</v>
      </c>
      <c r="K4" s="18" t="s">
        <v>86</v>
      </c>
      <c r="L4" s="18" t="s">
        <v>87</v>
      </c>
      <c r="M4" s="18" t="s">
        <v>88</v>
      </c>
      <c r="N4" s="18" t="s">
        <v>89</v>
      </c>
      <c r="O4" s="18" t="s">
        <v>90</v>
      </c>
      <c r="P4" s="19"/>
      <c r="Q4" s="20"/>
      <c r="R4" s="21"/>
      <c r="S4" s="22"/>
      <c r="T4" s="21"/>
      <c r="U4" s="23"/>
    </row>
    <row r="5" spans="1:21" s="109" customFormat="1" ht="49.9" customHeight="1">
      <c r="A5" s="4"/>
      <c r="B5" s="24" t="s">
        <v>24</v>
      </c>
      <c r="C5" s="25"/>
      <c r="D5" s="26">
        <f t="shared" ref="D5:O5" si="0">D11+D36+D44+D51</f>
        <v>1.1000000000000001</v>
      </c>
      <c r="E5" s="26">
        <f t="shared" si="0"/>
        <v>1.1000000000000001</v>
      </c>
      <c r="F5" s="26">
        <f t="shared" si="0"/>
        <v>1.1000000000000001</v>
      </c>
      <c r="G5" s="26">
        <f t="shared" si="0"/>
        <v>1.1000000000000001</v>
      </c>
      <c r="H5" s="26">
        <f t="shared" si="0"/>
        <v>1.1000000000000001</v>
      </c>
      <c r="I5" s="26">
        <f t="shared" si="0"/>
        <v>1.1000000000000001</v>
      </c>
      <c r="J5" s="26">
        <f t="shared" si="0"/>
        <v>1.1000000000000001</v>
      </c>
      <c r="K5" s="26">
        <f t="shared" si="0"/>
        <v>1.1000000000000001</v>
      </c>
      <c r="L5" s="26">
        <f t="shared" si="0"/>
        <v>0.85000000000000009</v>
      </c>
      <c r="M5" s="26">
        <f t="shared" si="0"/>
        <v>0.85000000000000009</v>
      </c>
      <c r="N5" s="26">
        <f t="shared" si="0"/>
        <v>0.85000000000000009</v>
      </c>
      <c r="O5" s="26">
        <f t="shared" si="0"/>
        <v>0.85000000000000009</v>
      </c>
      <c r="P5" s="27"/>
      <c r="Q5" s="206"/>
      <c r="R5" s="207"/>
      <c r="S5" s="207"/>
      <c r="T5" s="207"/>
      <c r="U5" s="28"/>
    </row>
    <row r="6" spans="1:21" s="110" customFormat="1" ht="49.9" customHeight="1">
      <c r="A6" s="29"/>
      <c r="B6" s="30" t="s">
        <v>25</v>
      </c>
      <c r="C6" s="31">
        <v>5</v>
      </c>
      <c r="D6" s="31">
        <f t="shared" ref="D6:O6" si="1">+$C$6</f>
        <v>5</v>
      </c>
      <c r="E6" s="31">
        <f t="shared" si="1"/>
        <v>5</v>
      </c>
      <c r="F6" s="31">
        <f t="shared" si="1"/>
        <v>5</v>
      </c>
      <c r="G6" s="31">
        <f t="shared" si="1"/>
        <v>5</v>
      </c>
      <c r="H6" s="31">
        <f t="shared" si="1"/>
        <v>5</v>
      </c>
      <c r="I6" s="31">
        <f t="shared" si="1"/>
        <v>5</v>
      </c>
      <c r="J6" s="31">
        <f t="shared" si="1"/>
        <v>5</v>
      </c>
      <c r="K6" s="31">
        <f t="shared" si="1"/>
        <v>5</v>
      </c>
      <c r="L6" s="31">
        <f t="shared" si="1"/>
        <v>5</v>
      </c>
      <c r="M6" s="31">
        <f t="shared" si="1"/>
        <v>5</v>
      </c>
      <c r="N6" s="31">
        <f t="shared" si="1"/>
        <v>5</v>
      </c>
      <c r="O6" s="31">
        <f t="shared" si="1"/>
        <v>5</v>
      </c>
      <c r="P6" s="32"/>
      <c r="Q6" s="208"/>
      <c r="R6" s="209"/>
      <c r="S6" s="209"/>
      <c r="T6" s="209"/>
      <c r="U6" s="33"/>
    </row>
    <row r="7" spans="1:21" s="107" customFormat="1" ht="49.9" customHeight="1">
      <c r="A7" s="34"/>
      <c r="B7" s="35" t="s">
        <v>26</v>
      </c>
      <c r="C7" s="36"/>
      <c r="D7" s="119">
        <f t="shared" ref="D7:O7" si="2">$C$6*D6</f>
        <v>25</v>
      </c>
      <c r="E7" s="119">
        <f t="shared" si="2"/>
        <v>25</v>
      </c>
      <c r="F7" s="119">
        <f t="shared" si="2"/>
        <v>25</v>
      </c>
      <c r="G7" s="119">
        <f t="shared" si="2"/>
        <v>25</v>
      </c>
      <c r="H7" s="119">
        <f t="shared" si="2"/>
        <v>25</v>
      </c>
      <c r="I7" s="119">
        <f t="shared" si="2"/>
        <v>25</v>
      </c>
      <c r="J7" s="119">
        <f t="shared" si="2"/>
        <v>25</v>
      </c>
      <c r="K7" s="119">
        <f t="shared" si="2"/>
        <v>25</v>
      </c>
      <c r="L7" s="119">
        <f t="shared" si="2"/>
        <v>25</v>
      </c>
      <c r="M7" s="119">
        <f t="shared" si="2"/>
        <v>25</v>
      </c>
      <c r="N7" s="119">
        <f t="shared" si="2"/>
        <v>25</v>
      </c>
      <c r="O7" s="119">
        <f t="shared" si="2"/>
        <v>25</v>
      </c>
      <c r="P7" s="121"/>
      <c r="Q7" s="122">
        <f>SUM('채널 마케팅 예산'!$D7:$O7)</f>
        <v>300</v>
      </c>
      <c r="R7" s="123"/>
      <c r="S7" s="123"/>
      <c r="T7" s="123"/>
      <c r="U7" s="37"/>
    </row>
    <row r="8" spans="1:21" s="107" customFormat="1" ht="49.9" customHeight="1">
      <c r="A8" s="34"/>
      <c r="B8" s="30" t="s">
        <v>27</v>
      </c>
      <c r="C8" s="38">
        <v>1E-3</v>
      </c>
      <c r="D8" s="120">
        <f t="shared" ref="D8:O8" si="3">D3*$C$8</f>
        <v>0.79</v>
      </c>
      <c r="E8" s="120">
        <f t="shared" si="3"/>
        <v>0.2</v>
      </c>
      <c r="F8" s="120">
        <f t="shared" si="3"/>
        <v>0.5</v>
      </c>
      <c r="G8" s="120">
        <f t="shared" si="3"/>
        <v>1.5</v>
      </c>
      <c r="H8" s="120">
        <f t="shared" si="3"/>
        <v>1.2</v>
      </c>
      <c r="I8" s="120">
        <f t="shared" si="3"/>
        <v>1.5</v>
      </c>
      <c r="J8" s="120">
        <f t="shared" si="3"/>
        <v>1.5</v>
      </c>
      <c r="K8" s="120">
        <f t="shared" si="3"/>
        <v>1.8</v>
      </c>
      <c r="L8" s="120">
        <f t="shared" si="3"/>
        <v>2</v>
      </c>
      <c r="M8" s="120">
        <f t="shared" si="3"/>
        <v>2</v>
      </c>
      <c r="N8" s="120">
        <f t="shared" si="3"/>
        <v>2</v>
      </c>
      <c r="O8" s="120">
        <f t="shared" si="3"/>
        <v>2</v>
      </c>
      <c r="P8" s="121"/>
      <c r="Q8" s="124">
        <f>SUM('채널 마케팅 예산'!$D8:$O8)</f>
        <v>16.990000000000002</v>
      </c>
      <c r="R8" s="125"/>
      <c r="S8" s="125"/>
      <c r="T8" s="125"/>
      <c r="U8" s="37"/>
    </row>
    <row r="9" spans="1:21" s="107" customFormat="1" ht="49.9" customHeight="1">
      <c r="A9" s="34"/>
      <c r="B9" s="39" t="s">
        <v>28</v>
      </c>
      <c r="C9" s="40"/>
      <c r="D9" s="127">
        <f t="shared" ref="D9:O9" si="4">SUM(D7:D8)</f>
        <v>25.79</v>
      </c>
      <c r="E9" s="127">
        <f t="shared" si="4"/>
        <v>25.2</v>
      </c>
      <c r="F9" s="127">
        <f t="shared" si="4"/>
        <v>25.5</v>
      </c>
      <c r="G9" s="127">
        <f t="shared" si="4"/>
        <v>26.5</v>
      </c>
      <c r="H9" s="127">
        <f t="shared" si="4"/>
        <v>26.2</v>
      </c>
      <c r="I9" s="127">
        <f t="shared" si="4"/>
        <v>26.5</v>
      </c>
      <c r="J9" s="127">
        <f t="shared" si="4"/>
        <v>26.5</v>
      </c>
      <c r="K9" s="127">
        <f t="shared" si="4"/>
        <v>26.8</v>
      </c>
      <c r="L9" s="127">
        <f t="shared" si="4"/>
        <v>27</v>
      </c>
      <c r="M9" s="127">
        <f t="shared" si="4"/>
        <v>27</v>
      </c>
      <c r="N9" s="127">
        <f t="shared" si="4"/>
        <v>27</v>
      </c>
      <c r="O9" s="127">
        <f t="shared" si="4"/>
        <v>27</v>
      </c>
      <c r="P9" s="126"/>
      <c r="Q9" s="122">
        <f>SUM(Q7:Q8)</f>
        <v>316.99</v>
      </c>
      <c r="R9" s="137"/>
      <c r="S9" s="41"/>
      <c r="T9" s="184"/>
      <c r="U9" s="37"/>
    </row>
    <row r="10" spans="1:21" s="111" customFormat="1" ht="49.9" customHeight="1">
      <c r="A10" s="42" t="s">
        <v>11</v>
      </c>
      <c r="B10" s="43" t="s">
        <v>29</v>
      </c>
      <c r="C10" s="8" t="s">
        <v>78</v>
      </c>
      <c r="D10" s="8" t="s">
        <v>79</v>
      </c>
      <c r="E10" s="8" t="s">
        <v>80</v>
      </c>
      <c r="F10" s="8" t="s">
        <v>81</v>
      </c>
      <c r="G10" s="8" t="s">
        <v>82</v>
      </c>
      <c r="H10" s="8" t="s">
        <v>83</v>
      </c>
      <c r="I10" s="8" t="s">
        <v>84</v>
      </c>
      <c r="J10" s="8" t="s">
        <v>85</v>
      </c>
      <c r="K10" s="8" t="s">
        <v>86</v>
      </c>
      <c r="L10" s="8" t="s">
        <v>87</v>
      </c>
      <c r="M10" s="8" t="s">
        <v>88</v>
      </c>
      <c r="N10" s="8" t="s">
        <v>89</v>
      </c>
      <c r="O10" s="8" t="s">
        <v>90</v>
      </c>
      <c r="P10" s="44"/>
      <c r="Q10" s="179"/>
      <c r="R10" s="180"/>
      <c r="S10" s="180"/>
      <c r="T10" s="183"/>
      <c r="U10" s="45"/>
    </row>
    <row r="11" spans="1:21" s="110" customFormat="1" ht="49.9" customHeight="1">
      <c r="A11" s="29"/>
      <c r="B11" s="46" t="s">
        <v>30</v>
      </c>
      <c r="C11" s="47"/>
      <c r="D11" s="48">
        <v>1</v>
      </c>
      <c r="E11" s="48">
        <v>1</v>
      </c>
      <c r="F11" s="48">
        <v>0.75</v>
      </c>
      <c r="G11" s="48">
        <v>0.4</v>
      </c>
      <c r="H11" s="48">
        <v>0.33</v>
      </c>
      <c r="I11" s="48">
        <v>0.25</v>
      </c>
      <c r="J11" s="48">
        <v>0.2</v>
      </c>
      <c r="K11" s="48">
        <v>0.1</v>
      </c>
      <c r="L11" s="48">
        <v>0.05</v>
      </c>
      <c r="M11" s="48">
        <v>0.05</v>
      </c>
      <c r="N11" s="48">
        <v>0.05</v>
      </c>
      <c r="O11" s="48">
        <v>0.05</v>
      </c>
      <c r="P11" s="49"/>
      <c r="Q11" s="128"/>
      <c r="R11" s="129"/>
      <c r="S11" s="129"/>
      <c r="T11" s="130"/>
      <c r="U11" s="33"/>
    </row>
    <row r="12" spans="1:21" s="107" customFormat="1" ht="49.9" customHeight="1">
      <c r="A12" s="34"/>
      <c r="B12" s="50" t="s">
        <v>31</v>
      </c>
      <c r="C12" s="51"/>
      <c r="D12" s="52">
        <v>1</v>
      </c>
      <c r="E12" s="52">
        <v>0.5</v>
      </c>
      <c r="F12" s="52">
        <v>0.5</v>
      </c>
      <c r="G12" s="52">
        <v>0.5</v>
      </c>
      <c r="H12" s="52">
        <v>0.5</v>
      </c>
      <c r="I12" s="52">
        <v>0.5</v>
      </c>
      <c r="J12" s="52">
        <v>0.5</v>
      </c>
      <c r="K12" s="52">
        <v>0.5</v>
      </c>
      <c r="L12" s="52">
        <v>0.5</v>
      </c>
      <c r="M12" s="52">
        <v>0.5</v>
      </c>
      <c r="N12" s="52">
        <v>0.5</v>
      </c>
      <c r="O12" s="52">
        <v>0.5</v>
      </c>
      <c r="P12" s="53"/>
      <c r="Q12" s="131"/>
      <c r="R12" s="132"/>
      <c r="S12" s="132"/>
      <c r="T12" s="132"/>
      <c r="U12" s="37"/>
    </row>
    <row r="13" spans="1:21" s="107" customFormat="1" ht="49.9" customHeight="1">
      <c r="A13" s="34"/>
      <c r="B13" s="30" t="s">
        <v>25</v>
      </c>
      <c r="C13" s="31">
        <v>3</v>
      </c>
      <c r="D13" s="31">
        <f t="shared" ref="D13:O13" si="5">$C$13*D12</f>
        <v>3</v>
      </c>
      <c r="E13" s="31">
        <f t="shared" si="5"/>
        <v>1.5</v>
      </c>
      <c r="F13" s="31">
        <f t="shared" si="5"/>
        <v>1.5</v>
      </c>
      <c r="G13" s="31">
        <f t="shared" si="5"/>
        <v>1.5</v>
      </c>
      <c r="H13" s="31">
        <f t="shared" si="5"/>
        <v>1.5</v>
      </c>
      <c r="I13" s="31">
        <f t="shared" si="5"/>
        <v>1.5</v>
      </c>
      <c r="J13" s="31">
        <f t="shared" si="5"/>
        <v>1.5</v>
      </c>
      <c r="K13" s="31">
        <f t="shared" si="5"/>
        <v>1.5</v>
      </c>
      <c r="L13" s="31">
        <f t="shared" si="5"/>
        <v>1.5</v>
      </c>
      <c r="M13" s="31">
        <f t="shared" si="5"/>
        <v>1.5</v>
      </c>
      <c r="N13" s="31">
        <f t="shared" si="5"/>
        <v>1.5</v>
      </c>
      <c r="O13" s="31">
        <f t="shared" si="5"/>
        <v>1.5</v>
      </c>
      <c r="P13" s="54"/>
      <c r="Q13" s="124">
        <f>SUM('채널 마케팅 예산'!$D13:$O13)</f>
        <v>19.5</v>
      </c>
      <c r="R13" s="133"/>
      <c r="S13" s="133"/>
      <c r="T13" s="133"/>
      <c r="U13" s="37"/>
    </row>
    <row r="14" spans="1:21" s="107" customFormat="1" ht="49.9" customHeight="1">
      <c r="A14" s="34"/>
      <c r="B14" s="50" t="s">
        <v>32</v>
      </c>
      <c r="C14" s="51"/>
      <c r="D14" s="51">
        <v>25</v>
      </c>
      <c r="E14" s="51">
        <v>10</v>
      </c>
      <c r="F14" s="51">
        <v>25</v>
      </c>
      <c r="G14" s="51">
        <v>10</v>
      </c>
      <c r="H14" s="51">
        <v>25</v>
      </c>
      <c r="I14" s="51">
        <v>10</v>
      </c>
      <c r="J14" s="51">
        <v>25</v>
      </c>
      <c r="K14" s="51">
        <v>10</v>
      </c>
      <c r="L14" s="51">
        <v>25</v>
      </c>
      <c r="M14" s="51">
        <v>10</v>
      </c>
      <c r="N14" s="51">
        <v>25</v>
      </c>
      <c r="O14" s="51">
        <v>10</v>
      </c>
      <c r="P14" s="53"/>
      <c r="Q14" s="134">
        <f>SUM('채널 마케팅 예산'!$D14:$O14)</f>
        <v>210</v>
      </c>
      <c r="R14" s="135"/>
      <c r="S14" s="135"/>
      <c r="T14" s="135"/>
      <c r="U14" s="37"/>
    </row>
    <row r="15" spans="1:21" s="107" customFormat="1" ht="49.9" customHeight="1">
      <c r="A15" s="34"/>
      <c r="B15" s="30" t="s">
        <v>27</v>
      </c>
      <c r="C15" s="38">
        <v>1E-3</v>
      </c>
      <c r="D15" s="120">
        <f t="shared" ref="D15:O15" si="6">$C$15*D3*D11*D12</f>
        <v>0.79</v>
      </c>
      <c r="E15" s="120">
        <f t="shared" si="6"/>
        <v>0.1</v>
      </c>
      <c r="F15" s="120">
        <f t="shared" si="6"/>
        <v>0.1875</v>
      </c>
      <c r="G15" s="120">
        <f t="shared" si="6"/>
        <v>0.30000000000000004</v>
      </c>
      <c r="H15" s="120">
        <f t="shared" si="6"/>
        <v>0.19800000000000001</v>
      </c>
      <c r="I15" s="120">
        <f t="shared" si="6"/>
        <v>0.1875</v>
      </c>
      <c r="J15" s="120">
        <f t="shared" si="6"/>
        <v>0.15000000000000002</v>
      </c>
      <c r="K15" s="120">
        <f t="shared" si="6"/>
        <v>9.0000000000000011E-2</v>
      </c>
      <c r="L15" s="120">
        <f t="shared" si="6"/>
        <v>0.05</v>
      </c>
      <c r="M15" s="120">
        <f t="shared" si="6"/>
        <v>0.05</v>
      </c>
      <c r="N15" s="120">
        <f t="shared" si="6"/>
        <v>0.05</v>
      </c>
      <c r="O15" s="120">
        <f t="shared" si="6"/>
        <v>0.05</v>
      </c>
      <c r="P15" s="54"/>
      <c r="Q15" s="124">
        <f>SUM('채널 마케팅 예산'!$D15:$O15)</f>
        <v>2.2029999999999994</v>
      </c>
      <c r="R15" s="133"/>
      <c r="S15" s="133"/>
      <c r="T15" s="133"/>
      <c r="U15" s="37"/>
    </row>
    <row r="16" spans="1:21" s="107" customFormat="1" ht="49.9" customHeight="1">
      <c r="A16" s="34"/>
      <c r="B16" s="50" t="s">
        <v>33</v>
      </c>
      <c r="C16" s="51"/>
      <c r="D16" s="51">
        <v>25</v>
      </c>
      <c r="E16" s="51">
        <v>10</v>
      </c>
      <c r="F16" s="51">
        <v>25</v>
      </c>
      <c r="G16" s="51">
        <v>10</v>
      </c>
      <c r="H16" s="51">
        <v>25</v>
      </c>
      <c r="I16" s="51">
        <v>10</v>
      </c>
      <c r="J16" s="51">
        <v>25</v>
      </c>
      <c r="K16" s="51">
        <v>10</v>
      </c>
      <c r="L16" s="51">
        <v>25</v>
      </c>
      <c r="M16" s="51">
        <v>10</v>
      </c>
      <c r="N16" s="51">
        <v>25</v>
      </c>
      <c r="O16" s="51">
        <v>10</v>
      </c>
      <c r="P16" s="136"/>
      <c r="Q16" s="134">
        <f>SUM('채널 마케팅 예산'!$D16:$O16)</f>
        <v>210</v>
      </c>
      <c r="R16" s="135"/>
      <c r="S16" s="135"/>
      <c r="T16" s="135"/>
      <c r="U16" s="37"/>
    </row>
    <row r="17" spans="1:21" s="112" customFormat="1" ht="49.9" customHeight="1">
      <c r="A17" s="55"/>
      <c r="B17" s="56" t="s">
        <v>34</v>
      </c>
      <c r="C17" s="57"/>
      <c r="D17" s="138">
        <f>SUM(D13:D16)</f>
        <v>53.79</v>
      </c>
      <c r="E17" s="138">
        <f>SUM(E13:E16)</f>
        <v>21.6</v>
      </c>
      <c r="F17" s="138">
        <f t="shared" ref="F17:O17" si="7">SUM(F13:F16)</f>
        <v>51.6875</v>
      </c>
      <c r="G17" s="138">
        <f t="shared" si="7"/>
        <v>21.8</v>
      </c>
      <c r="H17" s="138">
        <f t="shared" si="7"/>
        <v>51.698</v>
      </c>
      <c r="I17" s="138">
        <f t="shared" si="7"/>
        <v>21.6875</v>
      </c>
      <c r="J17" s="138">
        <f t="shared" si="7"/>
        <v>51.65</v>
      </c>
      <c r="K17" s="138">
        <f t="shared" si="7"/>
        <v>21.59</v>
      </c>
      <c r="L17" s="138">
        <f t="shared" si="7"/>
        <v>51.55</v>
      </c>
      <c r="M17" s="138">
        <f t="shared" si="7"/>
        <v>21.55</v>
      </c>
      <c r="N17" s="138">
        <f t="shared" si="7"/>
        <v>51.55</v>
      </c>
      <c r="O17" s="138">
        <f t="shared" si="7"/>
        <v>21.55</v>
      </c>
      <c r="P17" s="58"/>
      <c r="Q17" s="124">
        <f>SUM(Q13:Q16)</f>
        <v>441.70299999999997</v>
      </c>
      <c r="R17" s="139"/>
      <c r="S17" s="59"/>
      <c r="T17" s="139"/>
      <c r="U17" s="60"/>
    </row>
    <row r="18" spans="1:21" s="107" customFormat="1" ht="49.9" customHeight="1">
      <c r="A18" s="61" t="s">
        <v>12</v>
      </c>
      <c r="B18" s="43" t="s">
        <v>35</v>
      </c>
      <c r="C18" s="8" t="s">
        <v>78</v>
      </c>
      <c r="D18" s="8" t="s">
        <v>79</v>
      </c>
      <c r="E18" s="8" t="s">
        <v>80</v>
      </c>
      <c r="F18" s="8" t="s">
        <v>81</v>
      </c>
      <c r="G18" s="8" t="s">
        <v>82</v>
      </c>
      <c r="H18" s="8" t="s">
        <v>83</v>
      </c>
      <c r="I18" s="8" t="s">
        <v>84</v>
      </c>
      <c r="J18" s="8" t="s">
        <v>85</v>
      </c>
      <c r="K18" s="8" t="s">
        <v>86</v>
      </c>
      <c r="L18" s="8" t="s">
        <v>87</v>
      </c>
      <c r="M18" s="8" t="s">
        <v>88</v>
      </c>
      <c r="N18" s="8" t="s">
        <v>89</v>
      </c>
      <c r="O18" s="8" t="s">
        <v>90</v>
      </c>
      <c r="P18" s="62"/>
      <c r="Q18" s="181"/>
      <c r="R18" s="182"/>
      <c r="S18" s="182"/>
      <c r="T18" s="182"/>
      <c r="U18" s="37"/>
    </row>
    <row r="19" spans="1:21" s="107" customFormat="1" ht="49.9" customHeight="1">
      <c r="A19" s="34"/>
      <c r="B19" s="63" t="s">
        <v>36</v>
      </c>
      <c r="C19" s="49"/>
      <c r="D19" s="48">
        <v>0.25</v>
      </c>
      <c r="E19" s="48">
        <v>0.25</v>
      </c>
      <c r="F19" s="48">
        <v>0.25</v>
      </c>
      <c r="G19" s="48">
        <v>0.25</v>
      </c>
      <c r="H19" s="48">
        <v>0.25</v>
      </c>
      <c r="I19" s="48">
        <v>0.25</v>
      </c>
      <c r="J19" s="48">
        <v>0.25</v>
      </c>
      <c r="K19" s="48">
        <v>0.25</v>
      </c>
      <c r="L19" s="48">
        <v>0.25</v>
      </c>
      <c r="M19" s="48">
        <v>0.25</v>
      </c>
      <c r="N19" s="48">
        <v>0.25</v>
      </c>
      <c r="O19" s="48">
        <v>0.25</v>
      </c>
      <c r="P19" s="64"/>
      <c r="Q19" s="140"/>
      <c r="R19" s="141"/>
      <c r="S19" s="25"/>
      <c r="T19" s="141"/>
      <c r="U19" s="37"/>
    </row>
    <row r="20" spans="1:21" s="107" customFormat="1" ht="49.9" customHeight="1">
      <c r="A20" s="34"/>
      <c r="B20" s="30" t="s">
        <v>25</v>
      </c>
      <c r="C20" s="31">
        <v>1</v>
      </c>
      <c r="D20" s="31">
        <f t="shared" ref="D20:O20" si="8">$C$20*D19</f>
        <v>0.25</v>
      </c>
      <c r="E20" s="31">
        <f t="shared" si="8"/>
        <v>0.25</v>
      </c>
      <c r="F20" s="31">
        <f t="shared" si="8"/>
        <v>0.25</v>
      </c>
      <c r="G20" s="31">
        <f t="shared" si="8"/>
        <v>0.25</v>
      </c>
      <c r="H20" s="31">
        <f t="shared" si="8"/>
        <v>0.25</v>
      </c>
      <c r="I20" s="31">
        <f t="shared" si="8"/>
        <v>0.25</v>
      </c>
      <c r="J20" s="31">
        <f t="shared" si="8"/>
        <v>0.25</v>
      </c>
      <c r="K20" s="31">
        <f t="shared" si="8"/>
        <v>0.25</v>
      </c>
      <c r="L20" s="31">
        <f t="shared" si="8"/>
        <v>0.25</v>
      </c>
      <c r="M20" s="31">
        <f t="shared" si="8"/>
        <v>0.25</v>
      </c>
      <c r="N20" s="31">
        <f t="shared" si="8"/>
        <v>0.25</v>
      </c>
      <c r="O20" s="31">
        <f t="shared" si="8"/>
        <v>0.25</v>
      </c>
      <c r="P20" s="31"/>
      <c r="Q20" s="142">
        <f>SUM('채널 마케팅 예산'!$D20:$O20)</f>
        <v>3</v>
      </c>
      <c r="R20" s="143"/>
      <c r="S20" s="143"/>
      <c r="T20" s="143"/>
      <c r="U20" s="37"/>
    </row>
    <row r="21" spans="1:21" s="107" customFormat="1" ht="49.9" customHeight="1">
      <c r="A21" s="34"/>
      <c r="B21" s="50" t="s">
        <v>37</v>
      </c>
      <c r="C21" s="51"/>
      <c r="D21" s="51">
        <v>500</v>
      </c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144">
        <f>SUM('채널 마케팅 예산'!$D21:$O21)</f>
        <v>500</v>
      </c>
      <c r="R21" s="145"/>
      <c r="S21" s="145"/>
      <c r="T21" s="145"/>
      <c r="U21" s="37"/>
    </row>
    <row r="22" spans="1:21" s="107" customFormat="1" ht="49.9" customHeight="1">
      <c r="A22" s="34"/>
      <c r="B22" s="30" t="s">
        <v>38</v>
      </c>
      <c r="C22" s="31"/>
      <c r="D22" s="31">
        <v>10</v>
      </c>
      <c r="E22" s="31">
        <v>10</v>
      </c>
      <c r="F22" s="31">
        <v>10</v>
      </c>
      <c r="G22" s="31">
        <v>10</v>
      </c>
      <c r="H22" s="31">
        <v>10</v>
      </c>
      <c r="I22" s="31">
        <v>10</v>
      </c>
      <c r="J22" s="31">
        <v>10</v>
      </c>
      <c r="K22" s="31">
        <v>10</v>
      </c>
      <c r="L22" s="31">
        <v>10</v>
      </c>
      <c r="M22" s="31">
        <v>10</v>
      </c>
      <c r="N22" s="31">
        <v>10</v>
      </c>
      <c r="O22" s="31">
        <v>10</v>
      </c>
      <c r="P22" s="120"/>
      <c r="Q22" s="142">
        <f>SUM('채널 마케팅 예산'!$D22:$O22)</f>
        <v>120</v>
      </c>
      <c r="R22" s="143"/>
      <c r="S22" s="143"/>
      <c r="T22" s="143"/>
      <c r="U22" s="37"/>
    </row>
    <row r="23" spans="1:21" s="107" customFormat="1" ht="49.9" customHeight="1">
      <c r="A23" s="34"/>
      <c r="B23" s="50" t="s">
        <v>39</v>
      </c>
      <c r="C23" s="51"/>
      <c r="D23" s="51">
        <v>25</v>
      </c>
      <c r="E23" s="51"/>
      <c r="F23" s="51"/>
      <c r="G23" s="51"/>
      <c r="H23" s="51"/>
      <c r="I23" s="51"/>
      <c r="J23" s="51"/>
      <c r="K23" s="51"/>
      <c r="L23" s="51"/>
      <c r="M23" s="51"/>
      <c r="N23" s="51">
        <v>25</v>
      </c>
      <c r="O23" s="51"/>
      <c r="P23" s="147"/>
      <c r="Q23" s="144">
        <f>SUM('채널 마케팅 예산'!$D23:$O23)</f>
        <v>50</v>
      </c>
      <c r="R23" s="145"/>
      <c r="S23" s="145"/>
      <c r="T23" s="145"/>
      <c r="U23" s="37"/>
    </row>
    <row r="24" spans="1:21" s="107" customFormat="1" ht="49.9" customHeight="1">
      <c r="A24" s="34"/>
      <c r="B24" s="30" t="s">
        <v>40</v>
      </c>
      <c r="C24" s="31"/>
      <c r="D24" s="31"/>
      <c r="E24" s="31">
        <v>100</v>
      </c>
      <c r="F24" s="31"/>
      <c r="G24" s="31">
        <v>100</v>
      </c>
      <c r="H24" s="31"/>
      <c r="I24" s="31">
        <v>100</v>
      </c>
      <c r="J24" s="31"/>
      <c r="K24" s="31">
        <v>100</v>
      </c>
      <c r="L24" s="31"/>
      <c r="M24" s="31">
        <v>100</v>
      </c>
      <c r="N24" s="31"/>
      <c r="O24" s="31">
        <v>100</v>
      </c>
      <c r="P24" s="120"/>
      <c r="Q24" s="142">
        <f>SUM('채널 마케팅 예산'!$D24:$O24)</f>
        <v>600</v>
      </c>
      <c r="R24" s="143"/>
      <c r="S24" s="143"/>
      <c r="T24" s="143"/>
      <c r="U24" s="37"/>
    </row>
    <row r="25" spans="1:21" s="107" customFormat="1" ht="49.9" customHeight="1">
      <c r="A25" s="34"/>
      <c r="B25" s="50" t="s">
        <v>41</v>
      </c>
      <c r="C25" s="51"/>
      <c r="D25" s="51">
        <v>100</v>
      </c>
      <c r="E25" s="51"/>
      <c r="F25" s="51">
        <v>100</v>
      </c>
      <c r="G25" s="51"/>
      <c r="H25" s="51">
        <v>100</v>
      </c>
      <c r="I25" s="51"/>
      <c r="J25" s="51">
        <v>100</v>
      </c>
      <c r="K25" s="51"/>
      <c r="L25" s="51">
        <v>100</v>
      </c>
      <c r="M25" s="51"/>
      <c r="N25" s="51">
        <v>100</v>
      </c>
      <c r="O25" s="51"/>
      <c r="P25" s="147"/>
      <c r="Q25" s="144">
        <f>SUM('채널 마케팅 예산'!$D25:$O25)</f>
        <v>600</v>
      </c>
      <c r="R25" s="145"/>
      <c r="S25" s="145"/>
      <c r="T25" s="145"/>
      <c r="U25" s="37"/>
    </row>
    <row r="26" spans="1:21" s="112" customFormat="1" ht="49.9" customHeight="1">
      <c r="A26" s="55"/>
      <c r="B26" s="30" t="s">
        <v>42</v>
      </c>
      <c r="C26" s="31"/>
      <c r="D26" s="31"/>
      <c r="E26" s="31">
        <v>100</v>
      </c>
      <c r="F26" s="31"/>
      <c r="G26" s="31">
        <v>100</v>
      </c>
      <c r="H26" s="31">
        <v>100</v>
      </c>
      <c r="I26" s="31"/>
      <c r="J26" s="31"/>
      <c r="K26" s="31"/>
      <c r="L26" s="31">
        <v>100</v>
      </c>
      <c r="M26" s="31">
        <v>100</v>
      </c>
      <c r="N26" s="31"/>
      <c r="O26" s="31">
        <v>100</v>
      </c>
      <c r="P26" s="120"/>
      <c r="Q26" s="142">
        <f>SUM('채널 마케팅 예산'!$D26:$O26)</f>
        <v>600</v>
      </c>
      <c r="R26" s="143"/>
      <c r="S26" s="143"/>
      <c r="T26" s="143"/>
      <c r="U26" s="60"/>
    </row>
    <row r="27" spans="1:21" s="112" customFormat="1" ht="49.9" customHeight="1">
      <c r="A27" s="55"/>
      <c r="B27" s="65" t="s">
        <v>43</v>
      </c>
      <c r="C27" s="66"/>
      <c r="D27" s="148">
        <f t="shared" ref="D27:O27" si="9">SUM(D20:D23)</f>
        <v>535.25</v>
      </c>
      <c r="E27" s="148">
        <f t="shared" si="9"/>
        <v>10.25</v>
      </c>
      <c r="F27" s="148">
        <f t="shared" si="9"/>
        <v>10.25</v>
      </c>
      <c r="G27" s="148">
        <f t="shared" si="9"/>
        <v>10.25</v>
      </c>
      <c r="H27" s="148">
        <f t="shared" si="9"/>
        <v>10.25</v>
      </c>
      <c r="I27" s="148">
        <f t="shared" si="9"/>
        <v>10.25</v>
      </c>
      <c r="J27" s="148">
        <f t="shared" si="9"/>
        <v>10.25</v>
      </c>
      <c r="K27" s="148">
        <f t="shared" si="9"/>
        <v>10.25</v>
      </c>
      <c r="L27" s="148">
        <f t="shared" si="9"/>
        <v>10.25</v>
      </c>
      <c r="M27" s="148">
        <f t="shared" si="9"/>
        <v>10.25</v>
      </c>
      <c r="N27" s="148">
        <f t="shared" si="9"/>
        <v>35.25</v>
      </c>
      <c r="O27" s="148">
        <f t="shared" si="9"/>
        <v>10.25</v>
      </c>
      <c r="P27" s="67"/>
      <c r="Q27" s="134">
        <f>SUM(Q20:Q23)</f>
        <v>673</v>
      </c>
      <c r="R27" s="146"/>
      <c r="S27" s="68"/>
      <c r="T27" s="185"/>
      <c r="U27" s="60"/>
    </row>
    <row r="28" spans="1:21" s="107" customFormat="1" ht="49.9" customHeight="1">
      <c r="A28" s="61" t="s">
        <v>13</v>
      </c>
      <c r="B28" s="43" t="s">
        <v>44</v>
      </c>
      <c r="C28" s="8" t="s">
        <v>78</v>
      </c>
      <c r="D28" s="8" t="s">
        <v>79</v>
      </c>
      <c r="E28" s="8" t="s">
        <v>80</v>
      </c>
      <c r="F28" s="8" t="s">
        <v>81</v>
      </c>
      <c r="G28" s="8" t="s">
        <v>82</v>
      </c>
      <c r="H28" s="8" t="s">
        <v>83</v>
      </c>
      <c r="I28" s="8" t="s">
        <v>84</v>
      </c>
      <c r="J28" s="8" t="s">
        <v>85</v>
      </c>
      <c r="K28" s="8" t="s">
        <v>86</v>
      </c>
      <c r="L28" s="8" t="s">
        <v>87</v>
      </c>
      <c r="M28" s="8" t="s">
        <v>88</v>
      </c>
      <c r="N28" s="8" t="s">
        <v>89</v>
      </c>
      <c r="O28" s="8" t="s">
        <v>90</v>
      </c>
      <c r="P28" s="8"/>
      <c r="Q28" s="179"/>
      <c r="R28" s="180"/>
      <c r="S28" s="180"/>
      <c r="T28" s="180"/>
      <c r="U28" s="37"/>
    </row>
    <row r="29" spans="1:21" s="107" customFormat="1" ht="49.9" customHeight="1">
      <c r="A29" s="34"/>
      <c r="B29" s="63" t="s">
        <v>45</v>
      </c>
      <c r="C29" s="49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9"/>
      <c r="Q29" s="128"/>
      <c r="R29" s="129"/>
      <c r="S29" s="129"/>
      <c r="T29" s="129"/>
      <c r="U29" s="37"/>
    </row>
    <row r="30" spans="1:21" s="107" customFormat="1" ht="49.9" customHeight="1">
      <c r="A30" s="34"/>
      <c r="B30" s="50" t="s">
        <v>26</v>
      </c>
      <c r="C30" s="69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147"/>
      <c r="Q30" s="134">
        <f>SUM('채널 마케팅 예산'!$D30:$O30)</f>
        <v>0</v>
      </c>
      <c r="R30" s="148"/>
      <c r="S30" s="148"/>
      <c r="T30" s="148"/>
      <c r="U30" s="37"/>
    </row>
    <row r="31" spans="1:21" s="112" customFormat="1" ht="49.9" customHeight="1">
      <c r="A31" s="55"/>
      <c r="B31" s="30" t="s">
        <v>46</v>
      </c>
      <c r="C31" s="70"/>
      <c r="D31" s="31">
        <v>1000</v>
      </c>
      <c r="E31" s="31">
        <v>1000</v>
      </c>
      <c r="F31" s="31">
        <v>1000</v>
      </c>
      <c r="G31" s="31">
        <v>1000</v>
      </c>
      <c r="H31" s="31">
        <v>1000</v>
      </c>
      <c r="I31" s="31">
        <v>1000</v>
      </c>
      <c r="J31" s="31">
        <v>1000</v>
      </c>
      <c r="K31" s="31">
        <v>1000</v>
      </c>
      <c r="L31" s="31">
        <v>1000</v>
      </c>
      <c r="M31" s="31">
        <v>1000</v>
      </c>
      <c r="N31" s="31">
        <v>1000</v>
      </c>
      <c r="O31" s="31">
        <v>1000</v>
      </c>
      <c r="P31" s="120"/>
      <c r="Q31" s="200">
        <f>SUM('채널 마케팅 예산'!$D31:$O31)</f>
        <v>12000</v>
      </c>
      <c r="R31" s="201"/>
      <c r="S31" s="201"/>
      <c r="T31" s="201"/>
      <c r="U31" s="60"/>
    </row>
    <row r="32" spans="1:21" s="113" customFormat="1" ht="49.9" customHeight="1">
      <c r="A32" s="55"/>
      <c r="B32" s="50" t="s">
        <v>47</v>
      </c>
      <c r="C32" s="69"/>
      <c r="D32" s="51">
        <v>250</v>
      </c>
      <c r="E32" s="51">
        <v>250</v>
      </c>
      <c r="F32" s="51">
        <v>250</v>
      </c>
      <c r="G32" s="51">
        <v>250</v>
      </c>
      <c r="H32" s="51">
        <v>250</v>
      </c>
      <c r="I32" s="51">
        <v>250</v>
      </c>
      <c r="J32" s="51">
        <v>250</v>
      </c>
      <c r="K32" s="51">
        <v>250</v>
      </c>
      <c r="L32" s="51">
        <v>250</v>
      </c>
      <c r="M32" s="51">
        <v>250</v>
      </c>
      <c r="N32" s="51">
        <v>250</v>
      </c>
      <c r="O32" s="51">
        <v>250</v>
      </c>
      <c r="P32" s="147"/>
      <c r="Q32" s="202">
        <f>SUM('채널 마케팅 예산'!$D32:$O32)</f>
        <v>3000</v>
      </c>
      <c r="R32" s="203"/>
      <c r="S32" s="203"/>
      <c r="T32" s="203"/>
      <c r="U32" s="71"/>
    </row>
    <row r="33" spans="1:21" s="113" customFormat="1" ht="49.9" customHeight="1">
      <c r="A33" s="55"/>
      <c r="B33" s="30" t="s">
        <v>48</v>
      </c>
      <c r="C33" s="70"/>
      <c r="D33" s="120">
        <f>SUM(D30:D32)</f>
        <v>1250</v>
      </c>
      <c r="E33" s="120">
        <f t="shared" ref="E33:O33" si="10">SUM(E30:E32)</f>
        <v>1250</v>
      </c>
      <c r="F33" s="120">
        <f t="shared" si="10"/>
        <v>1250</v>
      </c>
      <c r="G33" s="120">
        <f t="shared" si="10"/>
        <v>1250</v>
      </c>
      <c r="H33" s="120">
        <f t="shared" si="10"/>
        <v>1250</v>
      </c>
      <c r="I33" s="120">
        <f t="shared" si="10"/>
        <v>1250</v>
      </c>
      <c r="J33" s="120">
        <f t="shared" si="10"/>
        <v>1250</v>
      </c>
      <c r="K33" s="120">
        <f t="shared" si="10"/>
        <v>1250</v>
      </c>
      <c r="L33" s="120">
        <f t="shared" si="10"/>
        <v>1250</v>
      </c>
      <c r="M33" s="120">
        <f t="shared" si="10"/>
        <v>1250</v>
      </c>
      <c r="N33" s="120">
        <f t="shared" si="10"/>
        <v>1250</v>
      </c>
      <c r="O33" s="120">
        <f t="shared" si="10"/>
        <v>1250</v>
      </c>
      <c r="P33" s="31"/>
      <c r="Q33" s="200">
        <f>SUM(Q30:Q32)</f>
        <v>15000</v>
      </c>
      <c r="R33" s="201"/>
      <c r="S33" s="201"/>
      <c r="T33" s="201"/>
      <c r="U33" s="71"/>
    </row>
    <row r="34" spans="1:21" s="107" customFormat="1" ht="49.9" customHeight="1">
      <c r="A34" s="61" t="s">
        <v>14</v>
      </c>
      <c r="B34" s="72" t="s">
        <v>49</v>
      </c>
      <c r="C34" s="73"/>
      <c r="D34" s="149">
        <f>SUM(DirectMail[[#Totals],[1월]],InternetMarketing[[#Totals],[1월]],DirectMarketing[[#Totals],[1월]])</f>
        <v>1839.04</v>
      </c>
      <c r="E34" s="149">
        <f>SUM(DirectMail[[#Totals],[2월]],InternetMarketing[[#Totals],[2월]],DirectMarketing[[#Totals],[2월]])</f>
        <v>1281.8499999999999</v>
      </c>
      <c r="F34" s="149">
        <f>SUM(DirectMail[[#Totals],[3월]],InternetMarketing[[#Totals],[3월]],DirectMarketing[[#Totals],[3월]])</f>
        <v>1311.9375</v>
      </c>
      <c r="G34" s="149">
        <f>SUM(DirectMail[[#Totals],[4월]],InternetMarketing[[#Totals],[4월]],DirectMarketing[[#Totals],[4월]])</f>
        <v>1282.05</v>
      </c>
      <c r="H34" s="149">
        <f>SUM(DirectMail[[#Totals],[5월]],InternetMarketing[[#Totals],[5월]],DirectMarketing[[#Totals],[5월]])</f>
        <v>1311.9480000000001</v>
      </c>
      <c r="I34" s="149">
        <f>SUM(DirectMail[[#Totals],[6월]],InternetMarketing[[#Totals],[6월]],DirectMarketing[[#Totals],[6월]])</f>
        <v>1281.9375</v>
      </c>
      <c r="J34" s="149">
        <f>SUM(DirectMail[[#Totals],[7월]],InternetMarketing[[#Totals],[7월]],DirectMarketing[[#Totals],[7월]])</f>
        <v>1311.9</v>
      </c>
      <c r="K34" s="149">
        <f>SUM(DirectMail[[#Totals],[8월]],InternetMarketing[[#Totals],[8월]],DirectMarketing[[#Totals],[8월]])</f>
        <v>1281.8399999999999</v>
      </c>
      <c r="L34" s="149">
        <f>SUM(DirectMail[[#Totals],[9월]],InternetMarketing[[#Totals],[9월]],DirectMarketing[[#Totals],[9월]])</f>
        <v>1311.8</v>
      </c>
      <c r="M34" s="149">
        <f>SUM(DirectMail[[#Totals],[10월]],InternetMarketing[[#Totals],[10월]],DirectMarketing[[#Totals],[10월]])</f>
        <v>1281.8</v>
      </c>
      <c r="N34" s="149">
        <f>SUM(DirectMail[[#Totals],[11월]],InternetMarketing[[#Totals],[11월]],DirectMarketing[[#Totals],[11월]])</f>
        <v>1336.8</v>
      </c>
      <c r="O34" s="149">
        <f>SUM(DirectMail[[#Totals],[12월]],InternetMarketing[[#Totals],[12월]],DirectMarketing[[#Totals],[12월]])</f>
        <v>1281.8</v>
      </c>
      <c r="P34" s="150"/>
      <c r="Q34" s="204">
        <f>SUM(Q33,Q27,Q17,Q9)</f>
        <v>16431.692999999999</v>
      </c>
      <c r="R34" s="205"/>
      <c r="S34" s="74"/>
      <c r="T34" s="186"/>
      <c r="U34" s="37"/>
    </row>
    <row r="35" spans="1:21" s="107" customFormat="1" ht="49.9" customHeight="1">
      <c r="A35" s="61" t="s">
        <v>15</v>
      </c>
      <c r="B35" s="75" t="s">
        <v>50</v>
      </c>
      <c r="C35" s="76" t="s">
        <v>78</v>
      </c>
      <c r="D35" s="76" t="s">
        <v>79</v>
      </c>
      <c r="E35" s="76" t="s">
        <v>80</v>
      </c>
      <c r="F35" s="76" t="s">
        <v>81</v>
      </c>
      <c r="G35" s="76" t="s">
        <v>82</v>
      </c>
      <c r="H35" s="76" t="s">
        <v>83</v>
      </c>
      <c r="I35" s="76" t="s">
        <v>84</v>
      </c>
      <c r="J35" s="76" t="s">
        <v>85</v>
      </c>
      <c r="K35" s="76" t="s">
        <v>86</v>
      </c>
      <c r="L35" s="76" t="s">
        <v>87</v>
      </c>
      <c r="M35" s="76" t="s">
        <v>88</v>
      </c>
      <c r="N35" s="76" t="s">
        <v>89</v>
      </c>
      <c r="O35" s="76" t="s">
        <v>90</v>
      </c>
      <c r="P35" s="77"/>
      <c r="Q35" s="196"/>
      <c r="R35" s="197"/>
      <c r="S35" s="197"/>
      <c r="T35" s="197"/>
      <c r="U35" s="37"/>
    </row>
    <row r="36" spans="1:21" s="107" customFormat="1" ht="49.9" customHeight="1">
      <c r="A36" s="34"/>
      <c r="B36" s="46" t="s">
        <v>51</v>
      </c>
      <c r="C36" s="47"/>
      <c r="D36" s="48">
        <v>0.1</v>
      </c>
      <c r="E36" s="48">
        <v>0.1</v>
      </c>
      <c r="F36" s="48">
        <v>0.1</v>
      </c>
      <c r="G36" s="48">
        <v>0.1</v>
      </c>
      <c r="H36" s="48">
        <v>0.1</v>
      </c>
      <c r="I36" s="48">
        <v>0.1</v>
      </c>
      <c r="J36" s="48">
        <v>0.1</v>
      </c>
      <c r="K36" s="48">
        <v>0.1</v>
      </c>
      <c r="L36" s="48">
        <v>0.1</v>
      </c>
      <c r="M36" s="48">
        <v>0.1</v>
      </c>
      <c r="N36" s="48">
        <v>0.1</v>
      </c>
      <c r="O36" s="48">
        <v>0.1</v>
      </c>
      <c r="P36" s="151"/>
      <c r="Q36" s="198"/>
      <c r="R36" s="199"/>
      <c r="S36" s="199"/>
      <c r="T36" s="199"/>
      <c r="U36" s="37"/>
    </row>
    <row r="37" spans="1:21" s="107" customFormat="1" ht="49.9" customHeight="1">
      <c r="A37" s="34"/>
      <c r="B37" s="50" t="s">
        <v>52</v>
      </c>
      <c r="C37" s="51"/>
      <c r="D37" s="51">
        <v>50</v>
      </c>
      <c r="E37" s="51">
        <v>50</v>
      </c>
      <c r="F37" s="51">
        <v>50</v>
      </c>
      <c r="G37" s="51">
        <v>50</v>
      </c>
      <c r="H37" s="51">
        <v>50</v>
      </c>
      <c r="I37" s="51">
        <v>50</v>
      </c>
      <c r="J37" s="51">
        <v>50</v>
      </c>
      <c r="K37" s="51">
        <v>50</v>
      </c>
      <c r="L37" s="51">
        <v>50</v>
      </c>
      <c r="M37" s="51">
        <v>50</v>
      </c>
      <c r="N37" s="51">
        <v>50</v>
      </c>
      <c r="O37" s="51">
        <v>50</v>
      </c>
      <c r="P37" s="51"/>
      <c r="Q37" s="202">
        <f>SUM('채널 마케팅 예산'!$D37:$O37)</f>
        <v>600</v>
      </c>
      <c r="R37" s="203"/>
      <c r="S37" s="203"/>
      <c r="T37" s="203"/>
      <c r="U37" s="37"/>
    </row>
    <row r="38" spans="1:21" s="107" customFormat="1" ht="49.9" customHeight="1">
      <c r="A38" s="34"/>
      <c r="B38" s="30" t="s">
        <v>33</v>
      </c>
      <c r="C38" s="31"/>
      <c r="D38" s="120">
        <v>250</v>
      </c>
      <c r="E38" s="120">
        <v>250</v>
      </c>
      <c r="F38" s="120">
        <v>250</v>
      </c>
      <c r="G38" s="120">
        <v>250</v>
      </c>
      <c r="H38" s="120">
        <v>250</v>
      </c>
      <c r="I38" s="120">
        <v>250</v>
      </c>
      <c r="J38" s="120">
        <v>250</v>
      </c>
      <c r="K38" s="120">
        <v>250</v>
      </c>
      <c r="L38" s="120">
        <v>250</v>
      </c>
      <c r="M38" s="120">
        <v>250</v>
      </c>
      <c r="N38" s="120">
        <v>250</v>
      </c>
      <c r="O38" s="120">
        <v>250</v>
      </c>
      <c r="P38" s="120"/>
      <c r="Q38" s="200">
        <f>SUM('채널 마케팅 예산'!$D38:$O38)</f>
        <v>3000</v>
      </c>
      <c r="R38" s="201"/>
      <c r="S38" s="201"/>
      <c r="T38" s="201"/>
      <c r="U38" s="37"/>
    </row>
    <row r="39" spans="1:21" s="113" customFormat="1" ht="49.9" customHeight="1">
      <c r="A39" s="55"/>
      <c r="B39" s="50" t="s">
        <v>53</v>
      </c>
      <c r="C39" s="51"/>
      <c r="D39" s="147">
        <v>600</v>
      </c>
      <c r="E39" s="147">
        <v>600</v>
      </c>
      <c r="F39" s="147">
        <v>600</v>
      </c>
      <c r="G39" s="147">
        <v>600</v>
      </c>
      <c r="H39" s="147">
        <v>600</v>
      </c>
      <c r="I39" s="147">
        <v>600</v>
      </c>
      <c r="J39" s="147">
        <v>600</v>
      </c>
      <c r="K39" s="147">
        <v>600</v>
      </c>
      <c r="L39" s="147">
        <v>600</v>
      </c>
      <c r="M39" s="147">
        <v>600</v>
      </c>
      <c r="N39" s="147">
        <v>600</v>
      </c>
      <c r="O39" s="147">
        <v>600</v>
      </c>
      <c r="P39" s="147"/>
      <c r="Q39" s="202">
        <f>SUM('채널 마케팅 예산'!$D39:$O39)</f>
        <v>7200</v>
      </c>
      <c r="R39" s="203"/>
      <c r="S39" s="203"/>
      <c r="T39" s="203"/>
      <c r="U39" s="71"/>
    </row>
    <row r="40" spans="1:21" s="113" customFormat="1" ht="49.9" customHeight="1">
      <c r="A40" s="55"/>
      <c r="B40" s="30" t="s">
        <v>54</v>
      </c>
      <c r="C40" s="38">
        <v>0.1</v>
      </c>
      <c r="D40" s="120">
        <f t="shared" ref="D40:O40" si="11">D3*D36*$C$40</f>
        <v>7.9</v>
      </c>
      <c r="E40" s="120">
        <f t="shared" si="11"/>
        <v>2</v>
      </c>
      <c r="F40" s="120">
        <f t="shared" si="11"/>
        <v>5</v>
      </c>
      <c r="G40" s="120">
        <f t="shared" si="11"/>
        <v>15</v>
      </c>
      <c r="H40" s="120">
        <f t="shared" si="11"/>
        <v>12</v>
      </c>
      <c r="I40" s="120">
        <f t="shared" si="11"/>
        <v>15</v>
      </c>
      <c r="J40" s="120">
        <f t="shared" si="11"/>
        <v>15</v>
      </c>
      <c r="K40" s="120">
        <f t="shared" si="11"/>
        <v>18</v>
      </c>
      <c r="L40" s="120">
        <f t="shared" si="11"/>
        <v>20</v>
      </c>
      <c r="M40" s="120">
        <f t="shared" si="11"/>
        <v>20</v>
      </c>
      <c r="N40" s="120">
        <f t="shared" si="11"/>
        <v>20</v>
      </c>
      <c r="O40" s="120">
        <f t="shared" si="11"/>
        <v>20</v>
      </c>
      <c r="P40" s="78"/>
      <c r="Q40" s="200">
        <f>SUM('채널 마케팅 예산'!$D40:$O40)</f>
        <v>169.9</v>
      </c>
      <c r="R40" s="201"/>
      <c r="S40" s="201"/>
      <c r="T40" s="201"/>
      <c r="U40" s="71"/>
    </row>
    <row r="41" spans="1:21" s="110" customFormat="1" ht="49.9" customHeight="1">
      <c r="A41" s="29"/>
      <c r="B41" s="50" t="s">
        <v>55</v>
      </c>
      <c r="C41" s="79">
        <v>0.1</v>
      </c>
      <c r="D41" s="147">
        <f t="shared" ref="D41:O41" si="12">D3*D36*$C$41</f>
        <v>7.9</v>
      </c>
      <c r="E41" s="147">
        <f t="shared" si="12"/>
        <v>2</v>
      </c>
      <c r="F41" s="147">
        <f t="shared" si="12"/>
        <v>5</v>
      </c>
      <c r="G41" s="147">
        <f t="shared" si="12"/>
        <v>15</v>
      </c>
      <c r="H41" s="147">
        <f t="shared" si="12"/>
        <v>12</v>
      </c>
      <c r="I41" s="147">
        <f t="shared" si="12"/>
        <v>15</v>
      </c>
      <c r="J41" s="147">
        <f t="shared" si="12"/>
        <v>15</v>
      </c>
      <c r="K41" s="147">
        <f t="shared" si="12"/>
        <v>18</v>
      </c>
      <c r="L41" s="147">
        <f t="shared" si="12"/>
        <v>20</v>
      </c>
      <c r="M41" s="147">
        <f t="shared" si="12"/>
        <v>20</v>
      </c>
      <c r="N41" s="147">
        <f t="shared" si="12"/>
        <v>20</v>
      </c>
      <c r="O41" s="147">
        <f t="shared" si="12"/>
        <v>20</v>
      </c>
      <c r="P41" s="51"/>
      <c r="Q41" s="202">
        <f>SUM('채널 마케팅 예산'!$D41:$O41)</f>
        <v>169.9</v>
      </c>
      <c r="R41" s="203"/>
      <c r="S41" s="203"/>
      <c r="T41" s="203"/>
      <c r="U41" s="33"/>
    </row>
    <row r="42" spans="1:21" s="107" customFormat="1" ht="49.9" customHeight="1">
      <c r="A42" s="34"/>
      <c r="B42" s="56" t="s">
        <v>56</v>
      </c>
      <c r="C42" s="57"/>
      <c r="D42" s="138">
        <f>SUM(D37:D41)</f>
        <v>915.8</v>
      </c>
      <c r="E42" s="138">
        <f t="shared" ref="E42:O42" si="13">SUM(E37:E41)</f>
        <v>904</v>
      </c>
      <c r="F42" s="138">
        <f t="shared" si="13"/>
        <v>910</v>
      </c>
      <c r="G42" s="138">
        <f t="shared" si="13"/>
        <v>930</v>
      </c>
      <c r="H42" s="138">
        <f t="shared" si="13"/>
        <v>924</v>
      </c>
      <c r="I42" s="138">
        <f t="shared" si="13"/>
        <v>930</v>
      </c>
      <c r="J42" s="138">
        <f t="shared" si="13"/>
        <v>930</v>
      </c>
      <c r="K42" s="138">
        <f t="shared" si="13"/>
        <v>936</v>
      </c>
      <c r="L42" s="138">
        <f t="shared" si="13"/>
        <v>940</v>
      </c>
      <c r="M42" s="138">
        <f t="shared" si="13"/>
        <v>940</v>
      </c>
      <c r="N42" s="138">
        <f t="shared" si="13"/>
        <v>940</v>
      </c>
      <c r="O42" s="138">
        <f t="shared" si="13"/>
        <v>940</v>
      </c>
      <c r="P42" s="152"/>
      <c r="Q42" s="210">
        <f>SUM(Q37:Q41)</f>
        <v>11139.8</v>
      </c>
      <c r="R42" s="211"/>
      <c r="S42" s="31"/>
      <c r="T42" s="187"/>
      <c r="U42" s="37"/>
    </row>
    <row r="43" spans="1:21" s="107" customFormat="1" ht="49.9" customHeight="1">
      <c r="A43" s="61" t="s">
        <v>16</v>
      </c>
      <c r="B43" s="43" t="s">
        <v>57</v>
      </c>
      <c r="C43" s="8" t="s">
        <v>78</v>
      </c>
      <c r="D43" s="8" t="s">
        <v>79</v>
      </c>
      <c r="E43" s="8" t="s">
        <v>80</v>
      </c>
      <c r="F43" s="8" t="s">
        <v>81</v>
      </c>
      <c r="G43" s="8" t="s">
        <v>82</v>
      </c>
      <c r="H43" s="8" t="s">
        <v>83</v>
      </c>
      <c r="I43" s="8" t="s">
        <v>84</v>
      </c>
      <c r="J43" s="8" t="s">
        <v>85</v>
      </c>
      <c r="K43" s="8" t="s">
        <v>86</v>
      </c>
      <c r="L43" s="8" t="s">
        <v>87</v>
      </c>
      <c r="M43" s="8" t="s">
        <v>88</v>
      </c>
      <c r="N43" s="8" t="s">
        <v>89</v>
      </c>
      <c r="O43" s="8" t="s">
        <v>90</v>
      </c>
      <c r="P43" s="8"/>
      <c r="Q43" s="179"/>
      <c r="R43" s="180"/>
      <c r="S43" s="180"/>
      <c r="T43" s="180"/>
      <c r="U43" s="37"/>
    </row>
    <row r="44" spans="1:21" s="107" customFormat="1" ht="49.9" customHeight="1">
      <c r="A44" s="34"/>
      <c r="B44" s="46" t="s">
        <v>58</v>
      </c>
      <c r="C44" s="47"/>
      <c r="D44" s="48">
        <v>0</v>
      </c>
      <c r="E44" s="48">
        <v>0</v>
      </c>
      <c r="F44" s="48">
        <v>0</v>
      </c>
      <c r="G44" s="48">
        <v>0</v>
      </c>
      <c r="H44" s="48">
        <v>0</v>
      </c>
      <c r="I44" s="48">
        <v>0.15</v>
      </c>
      <c r="J44" s="48">
        <v>0.2</v>
      </c>
      <c r="K44" s="48">
        <v>0.4</v>
      </c>
      <c r="L44" s="48">
        <v>0.4</v>
      </c>
      <c r="M44" s="48">
        <v>0.4</v>
      </c>
      <c r="N44" s="48">
        <v>0.4</v>
      </c>
      <c r="O44" s="48">
        <v>0.4</v>
      </c>
      <c r="P44" s="129"/>
      <c r="Q44" s="128"/>
      <c r="R44" s="129"/>
      <c r="S44" s="129"/>
      <c r="T44" s="129"/>
      <c r="U44" s="37"/>
    </row>
    <row r="45" spans="1:21" s="113" customFormat="1" ht="49.9" customHeight="1">
      <c r="A45" s="55"/>
      <c r="B45" s="50" t="s">
        <v>52</v>
      </c>
      <c r="C45" s="51"/>
      <c r="D45" s="51">
        <v>50</v>
      </c>
      <c r="E45" s="51">
        <v>50</v>
      </c>
      <c r="F45" s="51">
        <v>50</v>
      </c>
      <c r="G45" s="51">
        <v>50</v>
      </c>
      <c r="H45" s="51">
        <v>50</v>
      </c>
      <c r="I45" s="51">
        <v>50</v>
      </c>
      <c r="J45" s="51">
        <v>50</v>
      </c>
      <c r="K45" s="51">
        <v>50</v>
      </c>
      <c r="L45" s="51">
        <v>50</v>
      </c>
      <c r="M45" s="51">
        <v>50</v>
      </c>
      <c r="N45" s="51">
        <v>50</v>
      </c>
      <c r="O45" s="51">
        <v>50</v>
      </c>
      <c r="P45" s="147"/>
      <c r="Q45" s="134">
        <f>SUM('채널 마케팅 예산'!$D45:$O45)</f>
        <v>600</v>
      </c>
      <c r="R45" s="153"/>
      <c r="S45" s="154"/>
      <c r="T45" s="155"/>
      <c r="U45" s="71"/>
    </row>
    <row r="46" spans="1:21" s="113" customFormat="1" ht="49.9" customHeight="1">
      <c r="A46" s="55"/>
      <c r="B46" s="30" t="s">
        <v>33</v>
      </c>
      <c r="C46" s="31"/>
      <c r="D46" s="120">
        <v>250</v>
      </c>
      <c r="E46" s="120">
        <v>250</v>
      </c>
      <c r="F46" s="120">
        <v>250</v>
      </c>
      <c r="G46" s="120">
        <v>250</v>
      </c>
      <c r="H46" s="120">
        <v>250</v>
      </c>
      <c r="I46" s="120">
        <v>250</v>
      </c>
      <c r="J46" s="120">
        <v>250</v>
      </c>
      <c r="K46" s="120">
        <v>250</v>
      </c>
      <c r="L46" s="120">
        <v>250</v>
      </c>
      <c r="M46" s="120">
        <v>250</v>
      </c>
      <c r="N46" s="120">
        <v>250</v>
      </c>
      <c r="O46" s="120">
        <v>250</v>
      </c>
      <c r="P46" s="78"/>
      <c r="Q46" s="124">
        <f>SUM(Dstributors[[#This Row],[1월]:[12월]])</f>
        <v>3000</v>
      </c>
      <c r="R46" s="152"/>
      <c r="S46" s="156"/>
      <c r="T46" s="157"/>
      <c r="U46" s="71"/>
    </row>
    <row r="47" spans="1:21" s="110" customFormat="1" ht="49.9" customHeight="1">
      <c r="A47" s="29"/>
      <c r="B47" s="50" t="s">
        <v>53</v>
      </c>
      <c r="C47" s="51"/>
      <c r="D47" s="147">
        <v>600</v>
      </c>
      <c r="E47" s="147">
        <v>600</v>
      </c>
      <c r="F47" s="147">
        <v>600</v>
      </c>
      <c r="G47" s="147">
        <v>600</v>
      </c>
      <c r="H47" s="147">
        <v>600</v>
      </c>
      <c r="I47" s="147">
        <v>600</v>
      </c>
      <c r="J47" s="147">
        <v>600</v>
      </c>
      <c r="K47" s="147">
        <v>600</v>
      </c>
      <c r="L47" s="147">
        <v>600</v>
      </c>
      <c r="M47" s="147">
        <v>600</v>
      </c>
      <c r="N47" s="147">
        <v>600</v>
      </c>
      <c r="O47" s="147">
        <v>600</v>
      </c>
      <c r="P47" s="51"/>
      <c r="Q47" s="134">
        <f>SUM(Dstributors[[#This Row],[1월]:[12월]])</f>
        <v>7200</v>
      </c>
      <c r="R47" s="153"/>
      <c r="S47" s="154"/>
      <c r="T47" s="155"/>
      <c r="U47" s="33"/>
    </row>
    <row r="48" spans="1:21" s="107" customFormat="1" ht="49.9" customHeight="1">
      <c r="A48" s="34"/>
      <c r="B48" s="30" t="s">
        <v>59</v>
      </c>
      <c r="C48" s="38">
        <v>0.15</v>
      </c>
      <c r="D48" s="31">
        <f t="shared" ref="D48:O48" si="14">D3*D44*$C$48</f>
        <v>0</v>
      </c>
      <c r="E48" s="31">
        <f t="shared" si="14"/>
        <v>0</v>
      </c>
      <c r="F48" s="31">
        <f t="shared" si="14"/>
        <v>0</v>
      </c>
      <c r="G48" s="31">
        <f t="shared" si="14"/>
        <v>0</v>
      </c>
      <c r="H48" s="31">
        <f t="shared" si="14"/>
        <v>0</v>
      </c>
      <c r="I48" s="31">
        <f t="shared" si="14"/>
        <v>33.75</v>
      </c>
      <c r="J48" s="31">
        <f t="shared" si="14"/>
        <v>45</v>
      </c>
      <c r="K48" s="31">
        <f t="shared" si="14"/>
        <v>108</v>
      </c>
      <c r="L48" s="31">
        <f t="shared" si="14"/>
        <v>120</v>
      </c>
      <c r="M48" s="31">
        <f t="shared" si="14"/>
        <v>120</v>
      </c>
      <c r="N48" s="31">
        <f t="shared" si="14"/>
        <v>120</v>
      </c>
      <c r="O48" s="31">
        <f t="shared" si="14"/>
        <v>120</v>
      </c>
      <c r="P48" s="120"/>
      <c r="Q48" s="80">
        <f>SUM(Dstributors[[#This Row],[1월]:[12월]])</f>
        <v>666.75</v>
      </c>
      <c r="R48" s="81"/>
      <c r="S48" s="82"/>
      <c r="T48" s="83"/>
      <c r="U48" s="37"/>
    </row>
    <row r="49" spans="1:21" s="107" customFormat="1" ht="49.9" customHeight="1">
      <c r="A49" s="34"/>
      <c r="B49" s="84" t="s">
        <v>60</v>
      </c>
      <c r="C49" s="85"/>
      <c r="D49" s="158">
        <f>SUM(D45:D48)</f>
        <v>900</v>
      </c>
      <c r="E49" s="158">
        <f t="shared" ref="E49:O49" si="15">SUM(E45:E48)</f>
        <v>900</v>
      </c>
      <c r="F49" s="158">
        <f t="shared" si="15"/>
        <v>900</v>
      </c>
      <c r="G49" s="158">
        <f t="shared" si="15"/>
        <v>900</v>
      </c>
      <c r="H49" s="158">
        <f t="shared" si="15"/>
        <v>900</v>
      </c>
      <c r="I49" s="158">
        <f t="shared" si="15"/>
        <v>933.75</v>
      </c>
      <c r="J49" s="158">
        <f t="shared" si="15"/>
        <v>945</v>
      </c>
      <c r="K49" s="158">
        <f t="shared" si="15"/>
        <v>1008</v>
      </c>
      <c r="L49" s="158">
        <f t="shared" si="15"/>
        <v>1020</v>
      </c>
      <c r="M49" s="158">
        <f t="shared" si="15"/>
        <v>1020</v>
      </c>
      <c r="N49" s="158">
        <f t="shared" si="15"/>
        <v>1020</v>
      </c>
      <c r="O49" s="158">
        <f t="shared" si="15"/>
        <v>1020</v>
      </c>
      <c r="P49" s="86"/>
      <c r="Q49" s="212">
        <f>SUM(Q45:Q48)</f>
        <v>11466.75</v>
      </c>
      <c r="R49" s="213"/>
      <c r="S49" s="87"/>
      <c r="T49" s="188"/>
      <c r="U49" s="37"/>
    </row>
    <row r="50" spans="1:21" s="107" customFormat="1" ht="49.9" customHeight="1">
      <c r="A50" s="61" t="s">
        <v>17</v>
      </c>
      <c r="B50" s="75" t="s">
        <v>61</v>
      </c>
      <c r="C50" s="76" t="s">
        <v>78</v>
      </c>
      <c r="D50" s="76" t="s">
        <v>79</v>
      </c>
      <c r="E50" s="76" t="s">
        <v>80</v>
      </c>
      <c r="F50" s="76" t="s">
        <v>81</v>
      </c>
      <c r="G50" s="76" t="s">
        <v>82</v>
      </c>
      <c r="H50" s="76" t="s">
        <v>83</v>
      </c>
      <c r="I50" s="76" t="s">
        <v>84</v>
      </c>
      <c r="J50" s="76" t="s">
        <v>85</v>
      </c>
      <c r="K50" s="76" t="s">
        <v>86</v>
      </c>
      <c r="L50" s="76" t="s">
        <v>87</v>
      </c>
      <c r="M50" s="76" t="s">
        <v>88</v>
      </c>
      <c r="N50" s="76" t="s">
        <v>89</v>
      </c>
      <c r="O50" s="76" t="s">
        <v>90</v>
      </c>
      <c r="P50" s="178"/>
      <c r="Q50" s="177"/>
      <c r="R50" s="178"/>
      <c r="S50" s="178"/>
      <c r="T50" s="178"/>
      <c r="U50" s="37"/>
    </row>
    <row r="51" spans="1:21" s="113" customFormat="1" ht="49.9" customHeight="1">
      <c r="A51" s="55"/>
      <c r="B51" s="46" t="s">
        <v>62</v>
      </c>
      <c r="C51" s="47"/>
      <c r="D51" s="48">
        <v>0</v>
      </c>
      <c r="E51" s="48">
        <v>0</v>
      </c>
      <c r="F51" s="48">
        <v>0.25</v>
      </c>
      <c r="G51" s="48">
        <v>0.6</v>
      </c>
      <c r="H51" s="48">
        <v>0.67</v>
      </c>
      <c r="I51" s="48">
        <v>0.6</v>
      </c>
      <c r="J51" s="48">
        <v>0.6</v>
      </c>
      <c r="K51" s="48">
        <v>0.5</v>
      </c>
      <c r="L51" s="48">
        <v>0.3</v>
      </c>
      <c r="M51" s="48">
        <v>0.3</v>
      </c>
      <c r="N51" s="48">
        <v>0.3</v>
      </c>
      <c r="O51" s="48">
        <v>0.3</v>
      </c>
      <c r="P51" s="166"/>
      <c r="Q51" s="159"/>
      <c r="R51" s="160"/>
      <c r="S51" s="160"/>
      <c r="T51" s="160"/>
      <c r="U51" s="71"/>
    </row>
    <row r="52" spans="1:21" s="113" customFormat="1" ht="49.9" customHeight="1">
      <c r="A52" s="55"/>
      <c r="B52" s="50" t="s">
        <v>52</v>
      </c>
      <c r="C52" s="51"/>
      <c r="D52" s="51">
        <v>50</v>
      </c>
      <c r="E52" s="51">
        <v>50</v>
      </c>
      <c r="F52" s="51">
        <v>50</v>
      </c>
      <c r="G52" s="51">
        <v>50</v>
      </c>
      <c r="H52" s="51">
        <v>50</v>
      </c>
      <c r="I52" s="51">
        <v>50</v>
      </c>
      <c r="J52" s="51">
        <v>50</v>
      </c>
      <c r="K52" s="51">
        <v>50</v>
      </c>
      <c r="L52" s="51">
        <v>50</v>
      </c>
      <c r="M52" s="51">
        <v>50</v>
      </c>
      <c r="N52" s="51">
        <v>50</v>
      </c>
      <c r="O52" s="51">
        <v>50</v>
      </c>
      <c r="P52" s="88"/>
      <c r="Q52" s="161"/>
      <c r="R52" s="162"/>
      <c r="S52" s="162"/>
      <c r="T52" s="162"/>
      <c r="U52" s="71"/>
    </row>
    <row r="53" spans="1:21" s="110" customFormat="1" ht="49.9" customHeight="1">
      <c r="A53" s="29"/>
      <c r="B53" s="30" t="s">
        <v>33</v>
      </c>
      <c r="C53" s="31"/>
      <c r="D53" s="120">
        <v>250</v>
      </c>
      <c r="E53" s="120">
        <v>250</v>
      </c>
      <c r="F53" s="120">
        <v>250</v>
      </c>
      <c r="G53" s="120">
        <v>250</v>
      </c>
      <c r="H53" s="120">
        <v>250</v>
      </c>
      <c r="I53" s="120">
        <v>250</v>
      </c>
      <c r="J53" s="120">
        <v>250</v>
      </c>
      <c r="K53" s="120">
        <v>250</v>
      </c>
      <c r="L53" s="120">
        <v>250</v>
      </c>
      <c r="M53" s="120">
        <v>250</v>
      </c>
      <c r="N53" s="120">
        <v>250</v>
      </c>
      <c r="O53" s="120">
        <v>250</v>
      </c>
      <c r="P53" s="31"/>
      <c r="Q53" s="124">
        <f>SUM('채널 마케팅 예산'!$D52:$O52)</f>
        <v>600</v>
      </c>
      <c r="R53" s="163"/>
      <c r="S53" s="163"/>
      <c r="T53" s="163"/>
      <c r="U53" s="33"/>
    </row>
    <row r="54" spans="1:21" s="107" customFormat="1" ht="49.9" customHeight="1">
      <c r="A54" s="34"/>
      <c r="B54" s="50" t="s">
        <v>53</v>
      </c>
      <c r="C54" s="51"/>
      <c r="D54" s="147">
        <v>600</v>
      </c>
      <c r="E54" s="147">
        <v>600</v>
      </c>
      <c r="F54" s="147">
        <v>600</v>
      </c>
      <c r="G54" s="147">
        <v>600</v>
      </c>
      <c r="H54" s="147">
        <v>600</v>
      </c>
      <c r="I54" s="147">
        <v>600</v>
      </c>
      <c r="J54" s="147">
        <v>600</v>
      </c>
      <c r="K54" s="147">
        <v>600</v>
      </c>
      <c r="L54" s="147">
        <v>600</v>
      </c>
      <c r="M54" s="147">
        <v>600</v>
      </c>
      <c r="N54" s="147">
        <v>600</v>
      </c>
      <c r="O54" s="147">
        <v>600</v>
      </c>
      <c r="P54" s="147"/>
      <c r="Q54" s="134">
        <f>SUM('채널 마케팅 예산'!$D53:$O53)</f>
        <v>3000</v>
      </c>
      <c r="R54" s="164"/>
      <c r="S54" s="164"/>
      <c r="T54" s="164"/>
      <c r="U54" s="37"/>
    </row>
    <row r="55" spans="1:21" s="107" customFormat="1" ht="49.9" customHeight="1">
      <c r="A55" s="34"/>
      <c r="B55" s="30" t="s">
        <v>63</v>
      </c>
      <c r="C55" s="38">
        <v>0.1</v>
      </c>
      <c r="D55" s="31">
        <f t="shared" ref="D55:O55" si="16">D3*D51*$C$55</f>
        <v>0</v>
      </c>
      <c r="E55" s="31">
        <f t="shared" si="16"/>
        <v>0</v>
      </c>
      <c r="F55" s="31">
        <f t="shared" si="16"/>
        <v>12.5</v>
      </c>
      <c r="G55" s="31">
        <f t="shared" si="16"/>
        <v>90</v>
      </c>
      <c r="H55" s="31">
        <f t="shared" si="16"/>
        <v>80.400000000000006</v>
      </c>
      <c r="I55" s="31">
        <f t="shared" si="16"/>
        <v>90</v>
      </c>
      <c r="J55" s="31">
        <f t="shared" si="16"/>
        <v>90</v>
      </c>
      <c r="K55" s="31">
        <f t="shared" si="16"/>
        <v>90</v>
      </c>
      <c r="L55" s="31">
        <f t="shared" si="16"/>
        <v>60</v>
      </c>
      <c r="M55" s="31">
        <f t="shared" si="16"/>
        <v>60</v>
      </c>
      <c r="N55" s="31">
        <f t="shared" si="16"/>
        <v>60</v>
      </c>
      <c r="O55" s="31">
        <f t="shared" si="16"/>
        <v>60</v>
      </c>
      <c r="P55" s="31"/>
      <c r="Q55" s="124">
        <f>SUM('채널 마케팅 예산'!$D55:$O55)</f>
        <v>692.9</v>
      </c>
      <c r="R55" s="163"/>
      <c r="S55" s="163"/>
      <c r="T55" s="163"/>
      <c r="U55" s="37"/>
    </row>
    <row r="56" spans="1:21" s="107" customFormat="1" ht="49.9" customHeight="1">
      <c r="A56" s="34"/>
      <c r="B56" s="65" t="s">
        <v>64</v>
      </c>
      <c r="C56" s="66"/>
      <c r="D56" s="148">
        <f>SUM(D52:D55)</f>
        <v>900</v>
      </c>
      <c r="E56" s="148">
        <f t="shared" ref="E56:O56" si="17">SUM(E52:E55)</f>
        <v>900</v>
      </c>
      <c r="F56" s="148">
        <f t="shared" si="17"/>
        <v>912.5</v>
      </c>
      <c r="G56" s="148">
        <f t="shared" si="17"/>
        <v>990</v>
      </c>
      <c r="H56" s="148">
        <f t="shared" si="17"/>
        <v>980.4</v>
      </c>
      <c r="I56" s="148">
        <f t="shared" si="17"/>
        <v>990</v>
      </c>
      <c r="J56" s="148">
        <f t="shared" si="17"/>
        <v>990</v>
      </c>
      <c r="K56" s="148">
        <f t="shared" si="17"/>
        <v>990</v>
      </c>
      <c r="L56" s="148">
        <f t="shared" si="17"/>
        <v>960</v>
      </c>
      <c r="M56" s="148">
        <f t="shared" si="17"/>
        <v>960</v>
      </c>
      <c r="N56" s="148">
        <f t="shared" si="17"/>
        <v>960</v>
      </c>
      <c r="O56" s="148">
        <f t="shared" si="17"/>
        <v>960</v>
      </c>
      <c r="P56" s="147"/>
      <c r="Q56" s="134">
        <f>SUM(Q53:Q55)</f>
        <v>4292.8999999999996</v>
      </c>
      <c r="R56" s="165"/>
      <c r="S56" s="51"/>
      <c r="T56" s="189"/>
      <c r="U56" s="37"/>
    </row>
    <row r="57" spans="1:21" s="113" customFormat="1" ht="49.9" customHeight="1">
      <c r="A57" s="61" t="s">
        <v>18</v>
      </c>
      <c r="B57" s="75" t="s">
        <v>65</v>
      </c>
      <c r="C57" s="76" t="s">
        <v>78</v>
      </c>
      <c r="D57" s="76" t="s">
        <v>79</v>
      </c>
      <c r="E57" s="76" t="s">
        <v>80</v>
      </c>
      <c r="F57" s="76" t="s">
        <v>81</v>
      </c>
      <c r="G57" s="76" t="s">
        <v>82</v>
      </c>
      <c r="H57" s="76" t="s">
        <v>83</v>
      </c>
      <c r="I57" s="76" t="s">
        <v>84</v>
      </c>
      <c r="J57" s="76" t="s">
        <v>85</v>
      </c>
      <c r="K57" s="76" t="s">
        <v>86</v>
      </c>
      <c r="L57" s="76" t="s">
        <v>87</v>
      </c>
      <c r="M57" s="76" t="s">
        <v>88</v>
      </c>
      <c r="N57" s="76" t="s">
        <v>89</v>
      </c>
      <c r="O57" s="76" t="s">
        <v>90</v>
      </c>
      <c r="P57" s="89"/>
      <c r="Q57" s="175"/>
      <c r="R57" s="176"/>
      <c r="S57" s="176"/>
      <c r="T57" s="176"/>
      <c r="U57" s="71"/>
    </row>
    <row r="58" spans="1:21" s="110" customFormat="1" ht="49.9" customHeight="1">
      <c r="A58" s="29"/>
      <c r="B58" s="46" t="s">
        <v>66</v>
      </c>
      <c r="C58" s="90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91"/>
      <c r="Q58" s="128"/>
      <c r="R58" s="129"/>
      <c r="S58" s="129"/>
      <c r="T58" s="129"/>
      <c r="U58" s="33"/>
    </row>
    <row r="59" spans="1:21" s="107" customFormat="1" ht="49.9" customHeight="1">
      <c r="A59" s="34"/>
      <c r="B59" s="50" t="s">
        <v>67</v>
      </c>
      <c r="C59" s="69"/>
      <c r="D59" s="51">
        <v>50</v>
      </c>
      <c r="E59" s="51">
        <v>50</v>
      </c>
      <c r="F59" s="51">
        <v>50</v>
      </c>
      <c r="G59" s="51">
        <v>50</v>
      </c>
      <c r="H59" s="51">
        <v>50</v>
      </c>
      <c r="I59" s="51">
        <v>50</v>
      </c>
      <c r="J59" s="51">
        <v>50</v>
      </c>
      <c r="K59" s="51">
        <v>50</v>
      </c>
      <c r="L59" s="51">
        <v>50</v>
      </c>
      <c r="M59" s="51">
        <v>50</v>
      </c>
      <c r="N59" s="51">
        <v>50</v>
      </c>
      <c r="O59" s="51">
        <v>50</v>
      </c>
      <c r="P59" s="147"/>
      <c r="Q59" s="134">
        <f>SUM('채널 마케팅 예산'!$D59:$O59)</f>
        <v>600</v>
      </c>
      <c r="R59" s="148"/>
      <c r="S59" s="167"/>
      <c r="T59" s="167"/>
      <c r="U59" s="37"/>
    </row>
    <row r="60" spans="1:21" s="107" customFormat="1" ht="49.9" customHeight="1">
      <c r="A60" s="34"/>
      <c r="B60" s="30" t="s">
        <v>68</v>
      </c>
      <c r="C60" s="70"/>
      <c r="D60" s="120">
        <v>250</v>
      </c>
      <c r="E60" s="120">
        <v>250</v>
      </c>
      <c r="F60" s="120">
        <v>250</v>
      </c>
      <c r="G60" s="120">
        <v>250</v>
      </c>
      <c r="H60" s="120">
        <v>250</v>
      </c>
      <c r="I60" s="120">
        <v>250</v>
      </c>
      <c r="J60" s="120">
        <v>250</v>
      </c>
      <c r="K60" s="120">
        <v>250</v>
      </c>
      <c r="L60" s="120">
        <v>250</v>
      </c>
      <c r="M60" s="120">
        <v>250</v>
      </c>
      <c r="N60" s="120">
        <v>250</v>
      </c>
      <c r="O60" s="120">
        <v>250</v>
      </c>
      <c r="P60" s="31"/>
      <c r="Q60" s="124">
        <f>SUM('채널 마케팅 예산'!$D60:$O60)</f>
        <v>3000</v>
      </c>
      <c r="R60" s="138"/>
      <c r="S60" s="168"/>
      <c r="T60" s="168"/>
      <c r="U60" s="37"/>
    </row>
    <row r="61" spans="1:21" s="107" customFormat="1" ht="49.9" customHeight="1">
      <c r="A61" s="34"/>
      <c r="B61" s="50" t="s">
        <v>69</v>
      </c>
      <c r="C61" s="69"/>
      <c r="D61" s="51">
        <v>600</v>
      </c>
      <c r="E61" s="51">
        <v>600</v>
      </c>
      <c r="F61" s="51">
        <v>600</v>
      </c>
      <c r="G61" s="51">
        <v>600</v>
      </c>
      <c r="H61" s="51">
        <v>600</v>
      </c>
      <c r="I61" s="51">
        <v>600</v>
      </c>
      <c r="J61" s="51">
        <v>600</v>
      </c>
      <c r="K61" s="51">
        <v>600</v>
      </c>
      <c r="L61" s="51">
        <v>600</v>
      </c>
      <c r="M61" s="51">
        <v>600</v>
      </c>
      <c r="N61" s="51">
        <v>600</v>
      </c>
      <c r="O61" s="51">
        <v>600</v>
      </c>
      <c r="P61" s="147"/>
      <c r="Q61" s="134">
        <f>SUM('채널 마케팅 예산'!$D61:$O61)</f>
        <v>7200</v>
      </c>
      <c r="R61" s="148"/>
      <c r="S61" s="167"/>
      <c r="T61" s="167"/>
      <c r="U61" s="37"/>
    </row>
    <row r="62" spans="1:21" s="113" customFormat="1" ht="49.9" customHeight="1">
      <c r="A62" s="55"/>
      <c r="B62" s="56" t="s">
        <v>70</v>
      </c>
      <c r="C62" s="92"/>
      <c r="D62" s="138">
        <f>SUM(D59:D61)</f>
        <v>900</v>
      </c>
      <c r="E62" s="138">
        <f t="shared" ref="E62:O62" si="18">SUM(E59:E61)</f>
        <v>900</v>
      </c>
      <c r="F62" s="138">
        <f t="shared" si="18"/>
        <v>900</v>
      </c>
      <c r="G62" s="138">
        <f t="shared" si="18"/>
        <v>900</v>
      </c>
      <c r="H62" s="138">
        <f t="shared" si="18"/>
        <v>900</v>
      </c>
      <c r="I62" s="138">
        <f t="shared" si="18"/>
        <v>900</v>
      </c>
      <c r="J62" s="138">
        <f t="shared" si="18"/>
        <v>900</v>
      </c>
      <c r="K62" s="138">
        <f t="shared" si="18"/>
        <v>900</v>
      </c>
      <c r="L62" s="138">
        <f t="shared" si="18"/>
        <v>900</v>
      </c>
      <c r="M62" s="138">
        <f t="shared" si="18"/>
        <v>900</v>
      </c>
      <c r="N62" s="138">
        <f t="shared" si="18"/>
        <v>900</v>
      </c>
      <c r="O62" s="138">
        <f t="shared" si="18"/>
        <v>900</v>
      </c>
      <c r="P62" s="169"/>
      <c r="Q62" s="210">
        <f>SUM(Q59:Q61)</f>
        <v>10800</v>
      </c>
      <c r="R62" s="211"/>
      <c r="S62" s="31"/>
      <c r="T62" s="190"/>
      <c r="U62" s="71"/>
    </row>
    <row r="63" spans="1:21" s="114" customFormat="1" ht="49.9" customHeight="1">
      <c r="A63" s="55" t="s">
        <v>19</v>
      </c>
      <c r="B63" s="75" t="s">
        <v>71</v>
      </c>
      <c r="C63" s="76" t="s">
        <v>78</v>
      </c>
      <c r="D63" s="76" t="s">
        <v>79</v>
      </c>
      <c r="E63" s="76" t="s">
        <v>80</v>
      </c>
      <c r="F63" s="76" t="s">
        <v>81</v>
      </c>
      <c r="G63" s="76" t="s">
        <v>82</v>
      </c>
      <c r="H63" s="76" t="s">
        <v>83</v>
      </c>
      <c r="I63" s="76" t="s">
        <v>84</v>
      </c>
      <c r="J63" s="76" t="s">
        <v>85</v>
      </c>
      <c r="K63" s="76" t="s">
        <v>86</v>
      </c>
      <c r="L63" s="76" t="s">
        <v>87</v>
      </c>
      <c r="M63" s="76" t="s">
        <v>88</v>
      </c>
      <c r="N63" s="76" t="s">
        <v>89</v>
      </c>
      <c r="O63" s="76" t="s">
        <v>90</v>
      </c>
      <c r="P63" s="93"/>
      <c r="Q63" s="175"/>
      <c r="R63" s="176"/>
      <c r="S63" s="176"/>
      <c r="T63" s="176"/>
      <c r="U63" s="94"/>
    </row>
    <row r="64" spans="1:21" ht="49.9" customHeight="1">
      <c r="A64" s="4"/>
      <c r="B64" s="46" t="s">
        <v>72</v>
      </c>
      <c r="C64" s="47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91"/>
      <c r="Q64" s="128"/>
      <c r="R64" s="129"/>
      <c r="S64" s="129"/>
      <c r="T64" s="129"/>
      <c r="U64" s="5"/>
    </row>
    <row r="65" spans="1:21" ht="49.9" customHeight="1">
      <c r="A65" s="4"/>
      <c r="B65" s="50" t="s">
        <v>73</v>
      </c>
      <c r="C65" s="69"/>
      <c r="D65" s="51">
        <v>50</v>
      </c>
      <c r="E65" s="51">
        <v>50</v>
      </c>
      <c r="F65" s="51">
        <v>50</v>
      </c>
      <c r="G65" s="51">
        <v>50</v>
      </c>
      <c r="H65" s="51">
        <v>50</v>
      </c>
      <c r="I65" s="51">
        <v>50</v>
      </c>
      <c r="J65" s="51">
        <v>50</v>
      </c>
      <c r="K65" s="51">
        <v>50</v>
      </c>
      <c r="L65" s="51">
        <v>50</v>
      </c>
      <c r="M65" s="51">
        <v>50</v>
      </c>
      <c r="N65" s="51">
        <v>50</v>
      </c>
      <c r="O65" s="51">
        <v>50</v>
      </c>
      <c r="P65" s="51"/>
      <c r="Q65" s="134">
        <f>SUM('채널 마케팅 예산'!$D65:$O65)</f>
        <v>600</v>
      </c>
      <c r="R65" s="148"/>
      <c r="S65" s="170"/>
      <c r="T65" s="145"/>
      <c r="U65" s="5"/>
    </row>
    <row r="66" spans="1:21" ht="49.9" customHeight="1">
      <c r="A66" s="4"/>
      <c r="B66" s="30" t="s">
        <v>74</v>
      </c>
      <c r="C66" s="70"/>
      <c r="D66" s="120">
        <v>250</v>
      </c>
      <c r="E66" s="120">
        <v>250</v>
      </c>
      <c r="F66" s="120">
        <v>250</v>
      </c>
      <c r="G66" s="120">
        <v>250</v>
      </c>
      <c r="H66" s="120">
        <v>250</v>
      </c>
      <c r="I66" s="120">
        <v>250</v>
      </c>
      <c r="J66" s="120">
        <v>250</v>
      </c>
      <c r="K66" s="120">
        <v>250</v>
      </c>
      <c r="L66" s="120">
        <v>250</v>
      </c>
      <c r="M66" s="120">
        <v>250</v>
      </c>
      <c r="N66" s="120">
        <v>250</v>
      </c>
      <c r="O66" s="120">
        <v>250</v>
      </c>
      <c r="P66" s="31"/>
      <c r="Q66" s="124">
        <f>SUM('채널 마케팅 예산'!$D66:$O66)</f>
        <v>3000</v>
      </c>
      <c r="R66" s="138"/>
      <c r="S66" s="171"/>
      <c r="T66" s="143"/>
      <c r="U66" s="5"/>
    </row>
    <row r="67" spans="1:21" ht="49.9" customHeight="1">
      <c r="A67" s="4"/>
      <c r="B67" s="50" t="s">
        <v>75</v>
      </c>
      <c r="C67" s="69"/>
      <c r="D67" s="51">
        <v>600</v>
      </c>
      <c r="E67" s="51">
        <v>600</v>
      </c>
      <c r="F67" s="51">
        <v>600</v>
      </c>
      <c r="G67" s="51">
        <v>600</v>
      </c>
      <c r="H67" s="51">
        <v>600</v>
      </c>
      <c r="I67" s="51">
        <v>600</v>
      </c>
      <c r="J67" s="51">
        <v>600</v>
      </c>
      <c r="K67" s="51">
        <v>600</v>
      </c>
      <c r="L67" s="51">
        <v>600</v>
      </c>
      <c r="M67" s="51">
        <v>600</v>
      </c>
      <c r="N67" s="51">
        <v>600</v>
      </c>
      <c r="O67" s="51">
        <v>600</v>
      </c>
      <c r="P67" s="51"/>
      <c r="Q67" s="134">
        <f>SUM('채널 마케팅 예산'!$D67:$O67)</f>
        <v>7200</v>
      </c>
      <c r="R67" s="148"/>
      <c r="S67" s="170"/>
      <c r="T67" s="145"/>
      <c r="U67" s="5"/>
    </row>
    <row r="68" spans="1:21" ht="49.9" customHeight="1">
      <c r="A68" s="4"/>
      <c r="B68" s="56" t="s">
        <v>76</v>
      </c>
      <c r="C68" s="92"/>
      <c r="D68" s="138">
        <f>SUM(D65:D67)</f>
        <v>900</v>
      </c>
      <c r="E68" s="138">
        <f t="shared" ref="E68:O68" si="19">SUM(E65:E67)</f>
        <v>900</v>
      </c>
      <c r="F68" s="138">
        <f t="shared" si="19"/>
        <v>900</v>
      </c>
      <c r="G68" s="138">
        <f t="shared" si="19"/>
        <v>900</v>
      </c>
      <c r="H68" s="138">
        <f t="shared" si="19"/>
        <v>900</v>
      </c>
      <c r="I68" s="138">
        <f t="shared" si="19"/>
        <v>900</v>
      </c>
      <c r="J68" s="138">
        <f t="shared" si="19"/>
        <v>900</v>
      </c>
      <c r="K68" s="138">
        <f t="shared" si="19"/>
        <v>900</v>
      </c>
      <c r="L68" s="138">
        <f t="shared" si="19"/>
        <v>900</v>
      </c>
      <c r="M68" s="138">
        <f t="shared" si="19"/>
        <v>900</v>
      </c>
      <c r="N68" s="138">
        <f t="shared" si="19"/>
        <v>900</v>
      </c>
      <c r="O68" s="138">
        <f t="shared" si="19"/>
        <v>900</v>
      </c>
      <c r="P68" s="95"/>
      <c r="Q68" s="210">
        <f>SUM(Q65:Q67)</f>
        <v>10800</v>
      </c>
      <c r="R68" s="211"/>
      <c r="S68" s="95"/>
      <c r="T68" s="96"/>
      <c r="U68" s="5"/>
    </row>
    <row r="69" spans="1:21" ht="49.9" hidden="1" customHeight="1" thickBot="1">
      <c r="A69" s="4"/>
      <c r="B69" s="97"/>
      <c r="C69" s="98"/>
      <c r="D69" s="99"/>
      <c r="E69" s="99"/>
      <c r="F69" s="99"/>
      <c r="G69" s="99"/>
      <c r="H69" s="99"/>
      <c r="I69" s="99"/>
      <c r="J69" s="99"/>
      <c r="K69" s="99"/>
      <c r="L69" s="99"/>
      <c r="M69" s="99"/>
      <c r="N69" s="99"/>
      <c r="O69" s="99"/>
      <c r="P69" s="100"/>
      <c r="Q69" s="101"/>
      <c r="R69" s="98"/>
      <c r="S69" s="98"/>
      <c r="T69" s="98"/>
      <c r="U69" s="5"/>
    </row>
    <row r="70" spans="1:21" ht="49.9" customHeight="1">
      <c r="A70" s="4" t="s">
        <v>20</v>
      </c>
      <c r="B70" s="75" t="s">
        <v>77</v>
      </c>
      <c r="C70" s="102"/>
      <c r="D70" s="174">
        <f>SUM(D34,AgentAndBroker[[#Totals],[1월]],Dstributors[[#Totals],[1월]],Retailer[[#Totals],[1월]],CAR[[#Totals],[1월]],OtherExpenses[[#Totals],[1월]])</f>
        <v>6354.84</v>
      </c>
      <c r="E70" s="174">
        <f>SUM(OtherExpenses[[#Totals],[2월]],CAR[[#Totals],[2월]],Retailer[[#Totals],[2월]],Dstributors[[#Totals],[2월]],AgentAndBroker[[#Totals],[2월]],E34)</f>
        <v>5785.85</v>
      </c>
      <c r="F70" s="174">
        <f>SUM(OtherExpenses[[#Totals],[3월]],CAR[[#Totals],[3월]],Retailer[[#Totals],[3월]],Dstributors[[#Totals],[3월]],AgentAndBroker[[#Totals],[3월]],F34)</f>
        <v>5834.4375</v>
      </c>
      <c r="G70" s="174">
        <f>SUM(OtherExpenses[[#Totals],[4월]],CAR[[#Totals],[4월]],Retailer[[#Totals],[4월]],Dstributors[[#Totals],[4월]],AgentAndBroker[[#Totals],[4월]],G34)</f>
        <v>5902.05</v>
      </c>
      <c r="H70" s="174">
        <f>SUM(OtherExpenses[[#Totals],[5월]],CAR[[#Totals],[5월]],Retailer[[#Totals],[5월]],Dstributors[[#Totals],[5월]],AgentAndBroker[[#Totals],[5월]],H34)</f>
        <v>5916.348</v>
      </c>
      <c r="I70" s="174">
        <f>SUM(OtherExpenses[[#Totals],[6월]],CAR[[#Totals],[6월]],Retailer[[#Totals],[6월]],Dstributors[[#Totals],[6월]],AgentAndBroker[[#Totals],[6월]],I34)</f>
        <v>5935.6875</v>
      </c>
      <c r="J70" s="174">
        <f>SUM(OtherExpenses[[#Totals],[7월]],CAR[[#Totals],[7월]],Retailer[[#Totals],[7월]],Dstributors[[#Totals],[7월]],AgentAndBroker[[#Totals],[7월]],J34)</f>
        <v>5976.9</v>
      </c>
      <c r="K70" s="174">
        <f>SUM(OtherExpenses[[#Totals],[8월]],CAR[[#Totals],[8월]],Retailer[[#Totals],[8월]],Dstributors[[#Totals],[8월]],AgentAndBroker[[#Totals],[8월]],K34)</f>
        <v>6015.84</v>
      </c>
      <c r="L70" s="174">
        <f>SUM(OtherExpenses[[#Totals],[9월]],CAR[[#Totals],[9월]],Retailer[[#Totals],[9월]],Dstributors[[#Totals],[9월]],AgentAndBroker[[#Totals],[9월]],L34)</f>
        <v>6031.8</v>
      </c>
      <c r="M70" s="174">
        <f>SUM(OtherExpenses[[#Totals],[10월]],CAR[[#Totals],[10월]],Retailer[[#Totals],[10월]],Dstributors[[#Totals],[10월]],AgentAndBroker[[#Totals],[10월]],M34)</f>
        <v>6001.8</v>
      </c>
      <c r="N70" s="174">
        <f>SUM(OtherExpenses[[#Totals],[11월]],CAR[[#Totals],[11월]],Retailer[[#Totals],[11월]],Dstributors[[#Totals],[11월]],AgentAndBroker[[#Totals],[11월]],N34)</f>
        <v>6056.8</v>
      </c>
      <c r="O70" s="174">
        <f>SUM(OtherExpenses[[#Totals],[12월]],CAR[[#Totals],[12월]],Retailer[[#Totals],[12월]],Dstributors[[#Totals],[12월]],AgentAndBroker[[#Totals],[12월]],O34)</f>
        <v>6001.8</v>
      </c>
      <c r="P70" s="103"/>
      <c r="Q70" s="172">
        <f>Q72</f>
        <v>0</v>
      </c>
      <c r="R70" s="173"/>
      <c r="S70" s="103"/>
      <c r="T70" s="104"/>
      <c r="U70" s="5"/>
    </row>
  </sheetData>
  <mergeCells count="20">
    <mergeCell ref="Q42:R42"/>
    <mergeCell ref="Q49:R49"/>
    <mergeCell ref="Q62:R62"/>
    <mergeCell ref="Q68:R68"/>
    <mergeCell ref="Q37:T37"/>
    <mergeCell ref="Q38:T38"/>
    <mergeCell ref="Q39:T39"/>
    <mergeCell ref="Q40:T40"/>
    <mergeCell ref="Q41:T41"/>
    <mergeCell ref="B1:T1"/>
    <mergeCell ref="Q2:T2"/>
    <mergeCell ref="Q3:T3"/>
    <mergeCell ref="Q35:T35"/>
    <mergeCell ref="Q36:T36"/>
    <mergeCell ref="Q31:T31"/>
    <mergeCell ref="Q32:T32"/>
    <mergeCell ref="Q33:T33"/>
    <mergeCell ref="Q34:R34"/>
    <mergeCell ref="Q5:T5"/>
    <mergeCell ref="Q6:T6"/>
  </mergeCells>
  <phoneticPr fontId="79" type="noConversion"/>
  <printOptions horizontalCentered="1"/>
  <pageMargins left="0.25" right="0.25" top="0.75" bottom="0.75" header="0.3" footer="0.3"/>
  <pageSetup paperSize="9" scale="41" fitToHeight="0" orientation="landscape" r:id="rId1"/>
  <headerFooter>
    <oddFooter>Page &amp;P of &amp;N</oddFooter>
  </headerFooter>
  <drawing r:id="rId2"/>
  <tableParts count="9"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lineWeight="1" displayEmptyCellsAs="gap" high="1" low="1" xr2:uid="{00000000-0003-0000-0100-000000000000}">
          <x14:colorSeries theme="6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'채널 마케팅 예산'!D9:O9</xm:f>
              <xm:sqref>S9</xm:sqref>
            </x14:sparkline>
            <x14:sparkline>
              <xm:f>'채널 마케팅 예산'!D17:O17</xm:f>
              <xm:sqref>S17</xm:sqref>
            </x14:sparkline>
            <x14:sparkline>
              <xm:f>'채널 마케팅 예산'!D27:O27</xm:f>
              <xm:sqref>S27</xm:sqref>
            </x14:sparkline>
            <x14:sparkline>
              <xm:f>'채널 마케팅 예산'!D34:O34</xm:f>
              <xm:sqref>S34</xm:sqref>
            </x14:sparkline>
            <x14:sparkline>
              <xm:f>'채널 마케팅 예산'!D42:O42</xm:f>
              <xm:sqref>S42</xm:sqref>
            </x14:sparkline>
            <x14:sparkline>
              <xm:f>'채널 마케팅 예산'!D49:O49</xm:f>
              <xm:sqref>S49</xm:sqref>
            </x14:sparkline>
            <x14:sparkline>
              <xm:f>'채널 마케팅 예산'!D56:O56</xm:f>
              <xm:sqref>S56</xm:sqref>
            </x14:sparkline>
            <x14:sparkline>
              <xm:f>'채널 마케팅 예산'!D62:O62</xm:f>
              <xm:sqref>S62</xm:sqref>
            </x14:sparkline>
            <x14:sparkline>
              <xm:f>'채널 마케팅 예산'!D68:O68</xm:f>
              <xm:sqref>S68</xm:sqref>
            </x14:sparkline>
            <x14:sparkline>
              <xm:f>'채널 마케팅 예산'!D70:O70</xm:f>
              <xm:sqref>S70</xm:sqref>
            </x14:sparkline>
          </x14:sparklines>
        </x14:sparklineGroup>
      </x14:sparklineGroup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EA25CC0A0AC24199CDC46C25B8B0BC" ma:contentTypeVersion="10" ma:contentTypeDescription="Create a new document." ma:contentTypeScope="" ma:versionID="e3b47856d4cf355c0dacb39e1084d14f">
  <xsd:schema xmlns:xsd="http://www.w3.org/2001/XMLSchema" xmlns:xs="http://www.w3.org/2001/XMLSchema" xmlns:p="http://schemas.microsoft.com/office/2006/metadata/properties" xmlns:ns1="http://schemas.microsoft.com/sharepoint/v3" xmlns:ns2="6dc4bcd6-49db-4c07-9060-8acfc67cef9f" xmlns:ns3="fb0879af-3eba-417a-a55a-ffe6dcd6ca77" targetNamespace="http://schemas.microsoft.com/office/2006/metadata/properties" ma:root="true" ma:fieldsID="a845a615265fdb1f7b12cc65ac20ecbd" ns1:_="" ns2:_="" ns3:_="">
    <xsd:import namespace="http://schemas.microsoft.com/sharepoint/v3"/>
    <xsd:import namespace="6dc4bcd6-49db-4c07-9060-8acfc67cef9f"/>
    <xsd:import namespace="fb0879af-3eba-417a-a55a-ffe6dcd6ca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4bcd6-49db-4c07-9060-8acfc67cef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0879af-3eba-417a-a55a-ffe6dcd6ca7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3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4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4DC0057-18F3-4A29-98DF-ECE21F6E768D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77EFF9A9-4487-4786-9378-5389EFCD97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dc4bcd6-49db-4c07-9060-8acfc67cef9f"/>
    <ds:schemaRef ds:uri="fb0879af-3eba-417a-a55a-ffe6dcd6ca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31D781-F6B7-4898-9D79-B92522F897F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TM02802053</Templat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시작</vt:lpstr>
      <vt:lpstr>채널 마케팅 예산</vt:lpstr>
      <vt:lpstr>'채널 마케팅 예산'!Print_Titles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219</dc:creator>
  <cp:lastModifiedBy>219</cp:lastModifiedBy>
  <cp:lastPrinted>2018-06-27T06:26:06Z</cp:lastPrinted>
  <dcterms:created xsi:type="dcterms:W3CDTF">2018-05-30T06:26:33Z</dcterms:created>
  <dcterms:modified xsi:type="dcterms:W3CDTF">2021-12-20T03:00:48Z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0x010100DEEA25CC0A0AC24199CDC46C25B8B0BC</vt:lpwstr>
  </property>
</Properties>
</file>