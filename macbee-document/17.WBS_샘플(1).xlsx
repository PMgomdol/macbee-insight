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훈련팀 33\Desktop\말똥가리\부엉이\04.산출물\02.요구사항에서수행범위추출\04.WBS작성\"/>
    </mc:Choice>
  </mc:AlternateContent>
  <xr:revisionPtr revIDLastSave="0" documentId="13_ncr:1_{718CB91C-3220-412F-BA68-F0419739B589}" xr6:coauthVersionLast="40" xr6:coauthVersionMax="40" xr10:uidLastSave="{00000000-0000-0000-0000-000000000000}"/>
  <bookViews>
    <workbookView xWindow="0" yWindow="0" windowWidth="17460" windowHeight="10890" xr2:uid="{00000000-000D-0000-FFFF-FFFF00000000}"/>
  </bookViews>
  <sheets>
    <sheet name="WBS(개발)_v1.1" sheetId="38" r:id="rId1"/>
  </sheets>
  <calcPr calcId="181029"/>
  <webPublishing targetScreenSize="1024x768" codePage="94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5" i="38" l="1"/>
  <c r="M46" i="38" l="1"/>
  <c r="N46" i="38"/>
  <c r="O46" i="38"/>
  <c r="P18" i="38" l="1"/>
  <c r="P19" i="38"/>
  <c r="P9" i="38"/>
  <c r="P21" i="38"/>
  <c r="P20" i="38"/>
  <c r="P8" i="38"/>
  <c r="P10" i="38"/>
  <c r="P11" i="38"/>
  <c r="P12" i="38"/>
  <c r="P13" i="38"/>
  <c r="P14" i="38"/>
  <c r="P15" i="38"/>
  <c r="P16" i="38"/>
  <c r="P17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8" i="38"/>
  <c r="P39" i="38"/>
  <c r="P40" i="38"/>
  <c r="P41" i="38"/>
  <c r="P42" i="38"/>
  <c r="P46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엘루오씨앤씨 경영혁신그룹</author>
  </authors>
  <commentList>
    <comment ref="M6" authorId="0" shapeId="0" xr:uid="{00000000-0006-0000-0000-000001000000}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가장 늦게 개발이 될 것 같은 구현일수.</t>
        </r>
      </text>
    </comment>
    <comment ref="N6" authorId="0" shapeId="0" xr:uid="{00000000-0006-0000-0000-000002000000}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가장 빠르게 개발이 될 것 같은 구현일수</t>
        </r>
      </text>
    </comment>
    <comment ref="O6" authorId="0" shapeId="0" xr:uid="{00000000-0006-0000-0000-000003000000}">
      <text>
        <r>
          <rPr>
            <sz val="8"/>
            <color indexed="81"/>
            <rFont val="맑은 고딕"/>
            <family val="3"/>
            <charset val="129"/>
          </rPr>
          <t>해당기능 구현에 있어 여러 가지 변수를 감안해 실제적 개발이 될 것 같은 구현일수</t>
        </r>
      </text>
    </comment>
  </commentList>
</comments>
</file>

<file path=xl/sharedStrings.xml><?xml version="1.0" encoding="utf-8"?>
<sst xmlns="http://schemas.openxmlformats.org/spreadsheetml/2006/main" count="151" uniqueCount="105">
  <si>
    <t>로그인 이후 각 웹페이지로 로그인 정보 전송</t>
    <phoneticPr fontId="1" type="noConversion"/>
  </si>
  <si>
    <t>유저 정보를 서버와 통신</t>
    <phoneticPr fontId="1" type="noConversion"/>
  </si>
  <si>
    <t>각 회원의 정보를 암호화 모듈로 변환하여 처리</t>
    <phoneticPr fontId="1" type="noConversion"/>
  </si>
  <si>
    <t>스플레쉬</t>
    <phoneticPr fontId="1" type="noConversion"/>
  </si>
  <si>
    <t>이미지 API</t>
    <phoneticPr fontId="1" type="noConversion"/>
  </si>
  <si>
    <t>로딩 이미지 다운로드 및 신규이미지 교체 등 의 API 적용</t>
    <phoneticPr fontId="1" type="noConversion"/>
  </si>
  <si>
    <t>신규 이미지가 등록 되었을 경우 다운로드 후 신규 이미지로 교체</t>
    <phoneticPr fontId="1" type="noConversion"/>
  </si>
  <si>
    <t>신규 이미지 교체</t>
    <phoneticPr fontId="1" type="noConversion"/>
  </si>
  <si>
    <t>설정</t>
    <phoneticPr fontId="1" type="noConversion"/>
  </si>
  <si>
    <t>자동로그인</t>
    <phoneticPr fontId="1" type="noConversion"/>
  </si>
  <si>
    <t>푸쉬알림</t>
    <phoneticPr fontId="1" type="noConversion"/>
  </si>
  <si>
    <t>버전정보</t>
    <phoneticPr fontId="1" type="noConversion"/>
  </si>
  <si>
    <t>설정 레이아웃 작성</t>
    <phoneticPr fontId="1" type="noConversion"/>
  </si>
  <si>
    <t>현재 앱의 버전과 서버 및 스토어에 등록되어 있는 최신 버전 관리 API 적용</t>
    <phoneticPr fontId="1" type="noConversion"/>
  </si>
  <si>
    <t>각 설정 탭에 해당하는 링크로 연결</t>
    <phoneticPr fontId="1" type="noConversion"/>
  </si>
  <si>
    <t>SNS</t>
    <phoneticPr fontId="1" type="noConversion"/>
  </si>
  <si>
    <t>SNS 앱 각각의 라이브러리 적용</t>
    <phoneticPr fontId="1" type="noConversion"/>
  </si>
  <si>
    <t>메시지 처리 및 유입 링크 설정</t>
    <phoneticPr fontId="1" type="noConversion"/>
  </si>
  <si>
    <t>이미지 푸쉬 (안드로이드 한정)</t>
    <phoneticPr fontId="1" type="noConversion"/>
  </si>
  <si>
    <t>고유 디바이스 아이디를 추출하여 서버에 등록 및 푸쉬 메시지를 받을 사전 작업</t>
    <phoneticPr fontId="1" type="noConversion"/>
  </si>
  <si>
    <t>푸쉬 메시지를 수신하여 내용의 출력 및 앱에서 해당 링크로 연결 작업</t>
    <phoneticPr fontId="1" type="noConversion"/>
  </si>
  <si>
    <t>맴버쉽카드</t>
  </si>
  <si>
    <t>레이아웃</t>
  </si>
  <si>
    <t>카드애니메이션</t>
  </si>
  <si>
    <t>와인 마일리지</t>
  </si>
  <si>
    <t>마일리지애니메이션</t>
  </si>
  <si>
    <t xml:space="preserve">맴버쉽카드 페이지 레이아웃 구성 </t>
  </si>
  <si>
    <t xml:space="preserve">와인마일리지 페이지 레이아웃 구성 </t>
  </si>
  <si>
    <t xml:space="preserve">애니메이션 미확정 </t>
  </si>
  <si>
    <t>담당자</t>
  </si>
  <si>
    <t>통합</t>
  </si>
  <si>
    <t>WBS</t>
    <phoneticPr fontId="1" type="noConversion"/>
  </si>
  <si>
    <t>작성처/작성자</t>
    <phoneticPr fontId="1" type="noConversion"/>
  </si>
  <si>
    <t>작성일/버전</t>
    <phoneticPr fontId="1" type="noConversion"/>
  </si>
  <si>
    <t>■개발부문</t>
    <phoneticPr fontId="1" type="noConversion"/>
  </si>
  <si>
    <t>구분</t>
    <phoneticPr fontId="1" type="noConversion"/>
  </si>
  <si>
    <t>메뉴명</t>
    <phoneticPr fontId="1" type="noConversion"/>
  </si>
  <si>
    <t>기능</t>
    <phoneticPr fontId="1" type="noConversion"/>
  </si>
  <si>
    <t>상세설명</t>
    <phoneticPr fontId="1" type="noConversion"/>
  </si>
  <si>
    <t>비관치</t>
    <phoneticPr fontId="1" type="noConversion"/>
  </si>
  <si>
    <t>낙관치</t>
    <phoneticPr fontId="1" type="noConversion"/>
  </si>
  <si>
    <t>근사치</t>
    <phoneticPr fontId="1" type="noConversion"/>
  </si>
  <si>
    <t>소요일</t>
    <phoneticPr fontId="1" type="noConversion"/>
  </si>
  <si>
    <t>개발출처</t>
    <phoneticPr fontId="1" type="noConversion"/>
  </si>
  <si>
    <t>일</t>
    <phoneticPr fontId="1" type="noConversion"/>
  </si>
  <si>
    <t>사용자</t>
    <phoneticPr fontId="1" type="noConversion"/>
  </si>
  <si>
    <t>전체</t>
    <phoneticPr fontId="1" type="noConversion"/>
  </si>
  <si>
    <t>앱 아이콘 적용</t>
    <phoneticPr fontId="1" type="noConversion"/>
  </si>
  <si>
    <t>앱 설치시 아이콘 이미지 적용</t>
    <phoneticPr fontId="1" type="noConversion"/>
  </si>
  <si>
    <t>스토어 등록 업무</t>
    <phoneticPr fontId="1" type="noConversion"/>
  </si>
  <si>
    <t>앱 관련 소개 문구 등록 및 앱 관련 스크린샷 등록 등</t>
    <phoneticPr fontId="1" type="noConversion"/>
  </si>
  <si>
    <t>상단메뉴</t>
  </si>
  <si>
    <t>헤더 UI</t>
  </si>
  <si>
    <t>각 메뉴별 텍스트 변경과 헤더 UI작업</t>
  </si>
  <si>
    <t>헤더 세부메뉴</t>
  </si>
  <si>
    <t>소분류메뉴 기능 구현</t>
  </si>
  <si>
    <t>뒤로가기 기능 구현</t>
  </si>
  <si>
    <t>1. 무조건 상위메뉴로 이동 기능구현  2. 히스토리 백 기능구현 (둘중 미정)</t>
  </si>
  <si>
    <t>로그인페이지</t>
    <phoneticPr fontId="1" type="noConversion"/>
  </si>
  <si>
    <t>로그인 API</t>
    <phoneticPr fontId="1" type="noConversion"/>
  </si>
  <si>
    <t>SNS 아이디로 로그인(페이스북, 카카오톡)</t>
    <phoneticPr fontId="1" type="noConversion"/>
  </si>
  <si>
    <t>개인정보 암호화 모듈 적용</t>
    <phoneticPr fontId="1" type="noConversion"/>
  </si>
  <si>
    <t xml:space="preserve">하단 운영 SNS 연결기능 </t>
  </si>
  <si>
    <t>로그인 유지를 위하여 해당 유저의 정보를 웹 페이지와 통신</t>
    <phoneticPr fontId="1" type="noConversion"/>
  </si>
  <si>
    <t>메뉴</t>
    <phoneticPr fontId="1" type="noConversion"/>
  </si>
  <si>
    <t>사이드 메뉴 레이아웃
및 애니메이션</t>
    <phoneticPr fontId="1" type="noConversion"/>
  </si>
  <si>
    <t>우측 메뉴 리스트 레이아웃 작성 및 우측에서 좌측으로 밀고 나오는 슬라이드 애니메이션 효과</t>
    <phoneticPr fontId="1" type="noConversion"/>
  </si>
  <si>
    <t xml:space="preserve">
</t>
    <phoneticPr fontId="1" type="noConversion"/>
  </si>
  <si>
    <t>각 탭 링크 연결</t>
    <phoneticPr fontId="1" type="noConversion"/>
  </si>
  <si>
    <t>각 메뉴 탭에 해당하는 링크로 연결</t>
    <phoneticPr fontId="1" type="noConversion"/>
  </si>
  <si>
    <t>브릿지</t>
    <phoneticPr fontId="1" type="noConversion"/>
  </si>
  <si>
    <t>웹to앱 - 메뉴 리스트 호출</t>
    <phoneticPr fontId="1" type="noConversion"/>
  </si>
  <si>
    <t>네비게이션</t>
    <phoneticPr fontId="1" type="noConversion"/>
  </si>
  <si>
    <t>레이아웃</t>
    <phoneticPr fontId="1" type="noConversion"/>
  </si>
  <si>
    <t>메인 웹뷰 최상위 뷰에 네이게이션 버튼 레이아웃 작성</t>
    <phoneticPr fontId="1" type="noConversion"/>
  </si>
  <si>
    <t>웹to앱 - 팝업 등 사용자에게 웹뷰 전체를 보여줘야 할 경우 네이게이션을 숨겨야 함</t>
    <phoneticPr fontId="1" type="noConversion"/>
  </si>
  <si>
    <t>자동 로그인을 위한 유저의 정보 저장 및 자동 로그인 여부 확인을 위한 슬라이드 버튼 제작 (필요시 API로 서버통신 작업 추가)</t>
    <phoneticPr fontId="1" type="noConversion"/>
  </si>
  <si>
    <t>푸쉬 메시지 수신 여부 확인을 위한 슬라이드 버튼 제작 (필요시 API로 서버통신 작업 추가)</t>
    <phoneticPr fontId="1" type="noConversion"/>
  </si>
  <si>
    <t>해당하는 SNS 라이브러리를 사용하여 SNS를 통한 링크 공유 작업</t>
    <phoneticPr fontId="1" type="noConversion"/>
  </si>
  <si>
    <t>SNS 공유 링크 버튼 인입 시 처리 (카카오톡 한정)</t>
    <phoneticPr fontId="1" type="noConversion"/>
  </si>
  <si>
    <t>공유 된 링크를 통하여 앱으로 인입 시 해당 링크로 연결 작업</t>
    <phoneticPr fontId="1" type="noConversion"/>
  </si>
  <si>
    <t>푸쉬</t>
    <phoneticPr fontId="1" type="noConversion"/>
  </si>
  <si>
    <t>푸쉬 관련 디바이스 등록 기본 설정</t>
    <phoneticPr fontId="1" type="noConversion"/>
  </si>
  <si>
    <t>푸쉬 메시지 내의 이미지 링크 및 내용을 알럿의 형태로 띄워주는 작업</t>
    <phoneticPr fontId="1" type="noConversion"/>
  </si>
  <si>
    <t>로그인 실패 팝업</t>
  </si>
  <si>
    <t xml:space="preserve">로그인 실패시 팝업페이지 구현 </t>
  </si>
  <si>
    <t>아이디,비밀번호찾기 실패 팝업</t>
  </si>
  <si>
    <t xml:space="preserve">계정찾기 실패시 팝업페이지 구현 </t>
  </si>
  <si>
    <t>네트워크체크</t>
  </si>
  <si>
    <t>네트워크 사용 불가시 팝업기능 구현</t>
  </si>
  <si>
    <t>테스트</t>
  </si>
  <si>
    <t>앱 테스트</t>
  </si>
  <si>
    <t>SNS 아이디로 로그인시 API사용연동으로 회원가입 진행</t>
  </si>
  <si>
    <t xml:space="preserve">테스트 센터 방문하여 해상도 및 OS 별 테스트 </t>
    <phoneticPr fontId="1" type="noConversion"/>
  </si>
  <si>
    <t>Android</t>
    <phoneticPr fontId="1" type="noConversion"/>
  </si>
  <si>
    <t>앱개발팀</t>
    <phoneticPr fontId="1" type="noConversion"/>
  </si>
  <si>
    <t xml:space="preserve"> 아이디로 로그인</t>
  </si>
  <si>
    <t xml:space="preserve"> 회원 으로 로그인 처리</t>
  </si>
  <si>
    <t>SNS 아이디로  연동 로그인 처리</t>
  </si>
  <si>
    <t xml:space="preserve">아래의WBS에 따르면 이 프로젝트를 개발하기 위해서는 최대 46일, 최소 23일, </t>
    <phoneticPr fontId="1" type="noConversion"/>
  </si>
  <si>
    <t>평균 33일의 기간이 필요하다는 것을 알 수 있음. 만약 프로젝트 기간이 30일 이면</t>
    <phoneticPr fontId="1" type="noConversion"/>
  </si>
  <si>
    <t xml:space="preserve">최대 16일, 최소 3일을 더 확보해야 정상적인 진행이 가능함. </t>
    <phoneticPr fontId="1" type="noConversion"/>
  </si>
  <si>
    <t>2018-07-01 / v1.1</t>
    <phoneticPr fontId="1" type="noConversion"/>
  </si>
  <si>
    <t>SNS 아이디로 로그인시 000 회원가입</t>
  </si>
  <si>
    <t>000에서 운영중인 SNS 페이지로 이동 연결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</si>
</sst>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color indexed="8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</fills>
  <borders count="4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theme="0" tint="-0.34998626667073579"/>
      </bottom>
      <diagonal/>
    </border>
    <border>
      <left/>
      <right style="thin">
        <color indexed="55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auto="1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indexed="55"/>
      </left>
      <right style="thin">
        <color indexed="55"/>
      </right>
      <top style="thin">
        <color auto="1"/>
      </top>
      <bottom style="thin">
        <color indexed="55"/>
      </bottom>
      <diagonal/>
    </border>
    <border>
      <left style="thin">
        <color indexed="55"/>
      </left>
      <right style="thin">
        <color auto="1"/>
      </right>
      <top style="thin">
        <color auto="1"/>
      </top>
      <bottom style="thin">
        <color indexed="55"/>
      </bottom>
      <diagonal/>
    </border>
    <border>
      <left style="thin">
        <color indexed="55"/>
      </left>
      <right style="thin">
        <color auto="1"/>
      </right>
      <top/>
      <bottom style="thin">
        <color indexed="55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auto="1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/>
      <bottom style="thin">
        <color auto="1"/>
      </bottom>
      <diagonal/>
    </border>
    <border>
      <left style="thin">
        <color indexed="55"/>
      </left>
      <right style="thin">
        <color auto="1"/>
      </right>
      <top/>
      <bottom style="thin">
        <color auto="1"/>
      </bottom>
      <diagonal/>
    </border>
    <border>
      <left style="thin">
        <color indexed="55"/>
      </left>
      <right style="thin">
        <color auto="1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0" tint="-0.34998626667073579"/>
      </top>
      <bottom style="thin">
        <color auto="1"/>
      </bottom>
      <diagonal/>
    </border>
    <border>
      <left style="thin">
        <color indexed="55"/>
      </left>
      <right style="thin">
        <color auto="1"/>
      </right>
      <top style="thin">
        <color indexed="55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auto="1"/>
      </top>
      <bottom style="thin">
        <color theme="0" tint="-0.34998626667073579"/>
      </bottom>
      <diagonal/>
    </border>
    <border>
      <left style="thin">
        <color indexed="55"/>
      </left>
      <right style="thin">
        <color auto="1"/>
      </right>
      <top/>
      <bottom/>
      <diagonal/>
    </border>
    <border>
      <left style="thin">
        <color indexed="55"/>
      </left>
      <right style="thin">
        <color indexed="55"/>
      </right>
      <top style="thin">
        <color auto="1"/>
      </top>
      <bottom/>
      <diagonal/>
    </border>
    <border>
      <left style="thin">
        <color indexed="55"/>
      </left>
      <right style="thin">
        <color indexed="55"/>
      </right>
      <top style="thin">
        <color theme="0" tint="-0.34998626667073579"/>
      </top>
      <bottom/>
      <diagonal/>
    </border>
    <border>
      <left style="thin">
        <color indexed="55"/>
      </left>
      <right style="thin">
        <color indexed="55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55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55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4" borderId="0" xfId="0" applyFont="1" applyFill="1" applyBorder="1"/>
    <xf numFmtId="16" fontId="2" fillId="4" borderId="0" xfId="0" applyNumberFormat="1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Border="1"/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176" fontId="4" fillId="0" borderId="14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177" fontId="4" fillId="0" borderId="4" xfId="0" applyNumberFormat="1" applyFont="1" applyFill="1" applyBorder="1" applyAlignment="1">
      <alignment horizontal="left" vertical="center" wrapText="1"/>
    </xf>
    <xf numFmtId="0" fontId="4" fillId="0" borderId="32" xfId="0" applyFont="1" applyFill="1" applyBorder="1" applyAlignment="1">
      <alignment horizontal="left" vertical="center" wrapText="1"/>
    </xf>
    <xf numFmtId="177" fontId="4" fillId="0" borderId="32" xfId="0" applyNumberFormat="1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177" fontId="4" fillId="0" borderId="15" xfId="0" applyNumberFormat="1" applyFont="1" applyFill="1" applyBorder="1" applyAlignment="1">
      <alignment horizontal="left" vertical="center" wrapText="1"/>
    </xf>
    <xf numFmtId="177" fontId="4" fillId="0" borderId="17" xfId="0" applyNumberFormat="1" applyFont="1" applyFill="1" applyBorder="1" applyAlignment="1">
      <alignment horizontal="left" vertical="center" wrapText="1"/>
    </xf>
    <xf numFmtId="177" fontId="4" fillId="0" borderId="16" xfId="0" applyNumberFormat="1" applyFont="1" applyFill="1" applyBorder="1" applyAlignment="1">
      <alignment horizontal="left" vertical="center" wrapText="1"/>
    </xf>
    <xf numFmtId="0" fontId="4" fillId="0" borderId="34" xfId="0" applyFont="1" applyFill="1" applyBorder="1" applyAlignment="1">
      <alignment horizontal="left" vertical="center" wrapText="1"/>
    </xf>
    <xf numFmtId="177" fontId="4" fillId="0" borderId="34" xfId="0" applyNumberFormat="1" applyFont="1" applyFill="1" applyBorder="1" applyAlignment="1">
      <alignment horizontal="left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177" fontId="4" fillId="0" borderId="9" xfId="0" applyNumberFormat="1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25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vertical="center" wrapText="1"/>
    </xf>
    <xf numFmtId="177" fontId="4" fillId="0" borderId="20" xfId="0" applyNumberFormat="1" applyFont="1" applyFill="1" applyBorder="1" applyAlignment="1">
      <alignment horizontal="left" vertical="center" wrapText="1"/>
    </xf>
    <xf numFmtId="177" fontId="4" fillId="0" borderId="21" xfId="0" applyNumberFormat="1" applyFont="1" applyFill="1" applyBorder="1" applyAlignment="1">
      <alignment horizontal="left" vertical="center" wrapText="1"/>
    </xf>
    <xf numFmtId="177" fontId="4" fillId="0" borderId="19" xfId="0" applyNumberFormat="1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4" fontId="4" fillId="4" borderId="5" xfId="0" applyNumberFormat="1" applyFont="1" applyFill="1" applyBorder="1" applyAlignment="1">
      <alignment horizontal="center"/>
    </xf>
    <xf numFmtId="14" fontId="4" fillId="4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top" wrapText="1"/>
    </xf>
    <xf numFmtId="0" fontId="5" fillId="3" borderId="43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4" fillId="0" borderId="20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zoomScaleNormal="100" zoomScalePageLayoutView="140" workbookViewId="0">
      <pane ySplit="7" topLeftCell="A8" activePane="bottomLeft" state="frozen"/>
      <selection pane="bottomLeft" activeCell="T21" sqref="T21"/>
    </sheetView>
  </sheetViews>
  <sheetFormatPr defaultColWidth="8.77734375" defaultRowHeight="12" x14ac:dyDescent="0.15"/>
  <cols>
    <col min="1" max="1" width="1.77734375" style="7" customWidth="1"/>
    <col min="2" max="2" width="5" style="7" bestFit="1" customWidth="1"/>
    <col min="3" max="3" width="8.44140625" style="8" customWidth="1"/>
    <col min="4" max="4" width="7.109375" style="8" customWidth="1"/>
    <col min="5" max="5" width="4.77734375" style="9" customWidth="1"/>
    <col min="6" max="6" width="17.109375" style="8" customWidth="1"/>
    <col min="7" max="7" width="9.6640625" style="8" customWidth="1"/>
    <col min="8" max="11" width="8.109375" style="8" customWidth="1"/>
    <col min="12" max="12" width="11" style="8" customWidth="1"/>
    <col min="13" max="15" width="5.33203125" style="8" bestFit="1" customWidth="1"/>
    <col min="16" max="16" width="8.109375" style="8" bestFit="1" customWidth="1"/>
    <col min="17" max="18" width="6.6640625" style="8" bestFit="1" customWidth="1"/>
    <col min="19" max="19" width="5.109375" style="1" customWidth="1"/>
    <col min="20" max="16384" width="8.77734375" style="1"/>
  </cols>
  <sheetData>
    <row r="1" spans="1:21" ht="5.25" customHeight="1" x14ac:dyDescent="0.15"/>
    <row r="2" spans="1:21" s="3" customFormat="1" ht="18" customHeight="1" x14ac:dyDescent="0.3">
      <c r="A2" s="10"/>
      <c r="B2" s="74" t="s">
        <v>31</v>
      </c>
      <c r="C2" s="75"/>
      <c r="D2" s="75"/>
      <c r="E2" s="75"/>
      <c r="F2" s="75"/>
      <c r="G2" s="75"/>
      <c r="H2" s="76"/>
      <c r="I2" s="10"/>
      <c r="J2" s="10" t="s">
        <v>99</v>
      </c>
      <c r="K2" s="10"/>
      <c r="L2" s="10"/>
      <c r="M2" s="10"/>
      <c r="N2" s="10"/>
      <c r="O2" s="10"/>
      <c r="P2" s="10"/>
      <c r="Q2" s="10"/>
      <c r="R2" s="10"/>
    </row>
    <row r="3" spans="1:21" s="3" customFormat="1" ht="16.5" x14ac:dyDescent="0.3">
      <c r="A3" s="10"/>
      <c r="B3" s="77" t="s">
        <v>32</v>
      </c>
      <c r="C3" s="77"/>
      <c r="D3" s="77"/>
      <c r="E3" s="77"/>
      <c r="F3" s="77"/>
      <c r="G3" s="78" t="s">
        <v>95</v>
      </c>
      <c r="H3" s="79"/>
      <c r="I3" s="10"/>
      <c r="J3" s="10" t="s">
        <v>100</v>
      </c>
      <c r="K3" s="10"/>
      <c r="L3" s="10"/>
      <c r="M3" s="10"/>
      <c r="N3" s="10"/>
      <c r="O3" s="10"/>
      <c r="P3" s="10"/>
      <c r="Q3" s="10"/>
      <c r="R3" s="10"/>
    </row>
    <row r="4" spans="1:21" s="3" customFormat="1" ht="16.5" x14ac:dyDescent="0.3">
      <c r="A4" s="10"/>
      <c r="B4" s="77" t="s">
        <v>33</v>
      </c>
      <c r="C4" s="77"/>
      <c r="D4" s="77"/>
      <c r="E4" s="77"/>
      <c r="F4" s="77"/>
      <c r="G4" s="80" t="s">
        <v>102</v>
      </c>
      <c r="H4" s="81"/>
      <c r="I4" s="10"/>
      <c r="J4" s="10" t="s">
        <v>101</v>
      </c>
      <c r="K4" s="10"/>
      <c r="L4" s="10"/>
      <c r="M4" s="10"/>
      <c r="N4" s="10"/>
      <c r="O4" s="10"/>
      <c r="P4" s="10"/>
      <c r="Q4" s="10"/>
      <c r="R4" s="10"/>
      <c r="U4" s="4"/>
    </row>
    <row r="5" spans="1:21" ht="20.25" customHeight="1" x14ac:dyDescent="0.15">
      <c r="B5" s="82" t="s">
        <v>34</v>
      </c>
      <c r="C5" s="82"/>
      <c r="D5" s="82"/>
    </row>
    <row r="6" spans="1:21" ht="19.5" customHeight="1" x14ac:dyDescent="0.15">
      <c r="B6" s="69" t="s">
        <v>35</v>
      </c>
      <c r="C6" s="69" t="s">
        <v>36</v>
      </c>
      <c r="D6" s="69"/>
      <c r="E6" s="69" t="s">
        <v>37</v>
      </c>
      <c r="F6" s="69"/>
      <c r="G6" s="69" t="s">
        <v>38</v>
      </c>
      <c r="H6" s="69"/>
      <c r="I6" s="69"/>
      <c r="J6" s="69"/>
      <c r="K6" s="69"/>
      <c r="L6" s="69"/>
      <c r="M6" s="2" t="s">
        <v>39</v>
      </c>
      <c r="N6" s="2" t="s">
        <v>40</v>
      </c>
      <c r="O6" s="2" t="s">
        <v>41</v>
      </c>
      <c r="P6" s="2" t="s">
        <v>42</v>
      </c>
      <c r="Q6" s="69" t="s">
        <v>29</v>
      </c>
      <c r="R6" s="69" t="s">
        <v>43</v>
      </c>
    </row>
    <row r="7" spans="1:21" x14ac:dyDescent="0.15">
      <c r="B7" s="83"/>
      <c r="C7" s="70"/>
      <c r="D7" s="70"/>
      <c r="E7" s="70"/>
      <c r="F7" s="70"/>
      <c r="G7" s="70"/>
      <c r="H7" s="70"/>
      <c r="I7" s="70"/>
      <c r="J7" s="70"/>
      <c r="K7" s="70"/>
      <c r="L7" s="70"/>
      <c r="M7" s="5" t="s">
        <v>44</v>
      </c>
      <c r="N7" s="5" t="s">
        <v>44</v>
      </c>
      <c r="O7" s="5" t="s">
        <v>44</v>
      </c>
      <c r="P7" s="5" t="s">
        <v>44</v>
      </c>
      <c r="Q7" s="70"/>
      <c r="R7" s="70"/>
    </row>
    <row r="8" spans="1:21" x14ac:dyDescent="0.15">
      <c r="B8" s="84" t="s">
        <v>45</v>
      </c>
      <c r="C8" s="44" t="s">
        <v>46</v>
      </c>
      <c r="D8" s="45"/>
      <c r="E8" s="52" t="s">
        <v>47</v>
      </c>
      <c r="F8" s="53"/>
      <c r="G8" s="52" t="s">
        <v>48</v>
      </c>
      <c r="H8" s="54"/>
      <c r="I8" s="54"/>
      <c r="J8" s="54"/>
      <c r="K8" s="54"/>
      <c r="L8" s="53"/>
      <c r="M8" s="11">
        <v>0.5</v>
      </c>
      <c r="N8" s="11">
        <v>0.1</v>
      </c>
      <c r="O8" s="11">
        <v>0.2</v>
      </c>
      <c r="P8" s="11">
        <f t="shared" ref="P8:P24" si="0">SUM(M8:O8)/3</f>
        <v>0.26666666666666666</v>
      </c>
      <c r="Q8" s="20" t="s">
        <v>30</v>
      </c>
      <c r="R8" s="21"/>
    </row>
    <row r="9" spans="1:21" x14ac:dyDescent="0.15">
      <c r="B9" s="85"/>
      <c r="C9" s="46"/>
      <c r="D9" s="47"/>
      <c r="E9" s="66" t="s">
        <v>88</v>
      </c>
      <c r="F9" s="67"/>
      <c r="G9" s="66" t="s">
        <v>89</v>
      </c>
      <c r="H9" s="68"/>
      <c r="I9" s="68"/>
      <c r="J9" s="68"/>
      <c r="K9" s="68"/>
      <c r="L9" s="67"/>
      <c r="M9" s="12">
        <v>0.5</v>
      </c>
      <c r="N9" s="12">
        <v>0.2</v>
      </c>
      <c r="O9" s="12">
        <v>0.3</v>
      </c>
      <c r="P9" s="12">
        <f t="shared" si="0"/>
        <v>0.33333333333333331</v>
      </c>
      <c r="Q9" s="22" t="s">
        <v>30</v>
      </c>
      <c r="R9" s="23"/>
    </row>
    <row r="10" spans="1:21" x14ac:dyDescent="0.15">
      <c r="B10" s="85"/>
      <c r="C10" s="48"/>
      <c r="D10" s="49"/>
      <c r="E10" s="71" t="s">
        <v>49</v>
      </c>
      <c r="F10" s="72"/>
      <c r="G10" s="71" t="s">
        <v>50</v>
      </c>
      <c r="H10" s="73"/>
      <c r="I10" s="73"/>
      <c r="J10" s="73"/>
      <c r="K10" s="73"/>
      <c r="L10" s="72"/>
      <c r="M10" s="13">
        <v>1</v>
      </c>
      <c r="N10" s="13">
        <v>0.5</v>
      </c>
      <c r="O10" s="13">
        <v>0.7</v>
      </c>
      <c r="P10" s="13">
        <f t="shared" si="0"/>
        <v>0.73333333333333339</v>
      </c>
      <c r="Q10" s="24" t="s">
        <v>30</v>
      </c>
      <c r="R10" s="25"/>
    </row>
    <row r="11" spans="1:21" x14ac:dyDescent="0.15">
      <c r="B11" s="85"/>
      <c r="C11" s="44" t="s">
        <v>3</v>
      </c>
      <c r="D11" s="45"/>
      <c r="E11" s="52" t="s">
        <v>4</v>
      </c>
      <c r="F11" s="53"/>
      <c r="G11" s="52" t="s">
        <v>5</v>
      </c>
      <c r="H11" s="54"/>
      <c r="I11" s="54"/>
      <c r="J11" s="54"/>
      <c r="K11" s="54"/>
      <c r="L11" s="53"/>
      <c r="M11" s="11">
        <v>1.5</v>
      </c>
      <c r="N11" s="11">
        <v>0.5</v>
      </c>
      <c r="O11" s="11">
        <v>1</v>
      </c>
      <c r="P11" s="11">
        <f t="shared" si="0"/>
        <v>1</v>
      </c>
      <c r="Q11" s="26" t="s">
        <v>30</v>
      </c>
      <c r="R11" s="21"/>
    </row>
    <row r="12" spans="1:21" x14ac:dyDescent="0.15">
      <c r="B12" s="85"/>
      <c r="C12" s="48"/>
      <c r="D12" s="49"/>
      <c r="E12" s="71" t="s">
        <v>7</v>
      </c>
      <c r="F12" s="72"/>
      <c r="G12" s="71" t="s">
        <v>6</v>
      </c>
      <c r="H12" s="73"/>
      <c r="I12" s="73"/>
      <c r="J12" s="73"/>
      <c r="K12" s="73"/>
      <c r="L12" s="72"/>
      <c r="M12" s="13">
        <v>2</v>
      </c>
      <c r="N12" s="13">
        <v>0.5</v>
      </c>
      <c r="O12" s="13">
        <v>1</v>
      </c>
      <c r="P12" s="13">
        <f t="shared" si="0"/>
        <v>1.1666666666666667</v>
      </c>
      <c r="Q12" s="24" t="s">
        <v>30</v>
      </c>
      <c r="R12" s="25"/>
    </row>
    <row r="13" spans="1:21" x14ac:dyDescent="0.15">
      <c r="B13" s="85"/>
      <c r="C13" s="44" t="s">
        <v>51</v>
      </c>
      <c r="D13" s="45"/>
      <c r="E13" s="52" t="s">
        <v>52</v>
      </c>
      <c r="F13" s="53"/>
      <c r="G13" s="52" t="s">
        <v>53</v>
      </c>
      <c r="H13" s="54"/>
      <c r="I13" s="54"/>
      <c r="J13" s="54"/>
      <c r="K13" s="54"/>
      <c r="L13" s="53"/>
      <c r="M13" s="11">
        <v>2</v>
      </c>
      <c r="N13" s="11">
        <v>1</v>
      </c>
      <c r="O13" s="11">
        <v>1.5</v>
      </c>
      <c r="P13" s="11">
        <f t="shared" si="0"/>
        <v>1.5</v>
      </c>
      <c r="Q13" s="26" t="s">
        <v>30</v>
      </c>
      <c r="R13" s="21"/>
    </row>
    <row r="14" spans="1:21" x14ac:dyDescent="0.15">
      <c r="B14" s="85"/>
      <c r="C14" s="46"/>
      <c r="D14" s="47"/>
      <c r="E14" s="66" t="s">
        <v>54</v>
      </c>
      <c r="F14" s="67"/>
      <c r="G14" s="66" t="s">
        <v>55</v>
      </c>
      <c r="H14" s="68"/>
      <c r="I14" s="68"/>
      <c r="J14" s="68"/>
      <c r="K14" s="68"/>
      <c r="L14" s="67"/>
      <c r="M14" s="27">
        <v>1</v>
      </c>
      <c r="N14" s="27">
        <v>0.5</v>
      </c>
      <c r="O14" s="27">
        <v>0.5</v>
      </c>
      <c r="P14" s="27">
        <f t="shared" si="0"/>
        <v>0.66666666666666663</v>
      </c>
      <c r="Q14" s="28" t="s">
        <v>30</v>
      </c>
      <c r="R14" s="23"/>
    </row>
    <row r="15" spans="1:21" x14ac:dyDescent="0.15">
      <c r="B15" s="85"/>
      <c r="C15" s="48"/>
      <c r="D15" s="49"/>
      <c r="E15" s="71" t="s">
        <v>56</v>
      </c>
      <c r="F15" s="72"/>
      <c r="G15" s="71" t="s">
        <v>57</v>
      </c>
      <c r="H15" s="73"/>
      <c r="I15" s="73"/>
      <c r="J15" s="73"/>
      <c r="K15" s="73"/>
      <c r="L15" s="72"/>
      <c r="M15" s="13">
        <v>3</v>
      </c>
      <c r="N15" s="13">
        <v>2</v>
      </c>
      <c r="O15" s="13">
        <v>2.5</v>
      </c>
      <c r="P15" s="13">
        <f t="shared" si="0"/>
        <v>2.5</v>
      </c>
      <c r="Q15" s="24" t="s">
        <v>30</v>
      </c>
      <c r="R15" s="25"/>
    </row>
    <row r="16" spans="1:21" ht="12" customHeight="1" x14ac:dyDescent="0.15">
      <c r="B16" s="85"/>
      <c r="C16" s="44" t="s">
        <v>58</v>
      </c>
      <c r="D16" s="45"/>
      <c r="E16" s="87" t="s">
        <v>59</v>
      </c>
      <c r="F16" s="88"/>
      <c r="G16" s="87" t="s">
        <v>1</v>
      </c>
      <c r="H16" s="89"/>
      <c r="I16" s="89"/>
      <c r="J16" s="89"/>
      <c r="K16" s="89"/>
      <c r="L16" s="88"/>
      <c r="M16" s="11">
        <v>1.7</v>
      </c>
      <c r="N16" s="11">
        <v>1</v>
      </c>
      <c r="O16" s="11">
        <v>1.2</v>
      </c>
      <c r="P16" s="11">
        <f t="shared" si="0"/>
        <v>1.3</v>
      </c>
      <c r="Q16" s="26" t="s">
        <v>30</v>
      </c>
      <c r="R16" s="21"/>
    </row>
    <row r="17" spans="2:18" x14ac:dyDescent="0.15">
      <c r="B17" s="85"/>
      <c r="C17" s="46"/>
      <c r="D17" s="47"/>
      <c r="E17" s="63" t="s">
        <v>96</v>
      </c>
      <c r="F17" s="64"/>
      <c r="G17" s="63" t="s">
        <v>97</v>
      </c>
      <c r="H17" s="65"/>
      <c r="I17" s="65"/>
      <c r="J17" s="65"/>
      <c r="K17" s="65"/>
      <c r="L17" s="64"/>
      <c r="M17" s="12">
        <v>1.5</v>
      </c>
      <c r="N17" s="12">
        <v>0.5</v>
      </c>
      <c r="O17" s="12">
        <v>1</v>
      </c>
      <c r="P17" s="12">
        <f t="shared" si="0"/>
        <v>1</v>
      </c>
      <c r="Q17" s="28" t="s">
        <v>30</v>
      </c>
      <c r="R17" s="23"/>
    </row>
    <row r="18" spans="2:18" x14ac:dyDescent="0.15">
      <c r="B18" s="85"/>
      <c r="C18" s="46"/>
      <c r="D18" s="47"/>
      <c r="E18" s="63" t="s">
        <v>60</v>
      </c>
      <c r="F18" s="64"/>
      <c r="G18" s="63" t="s">
        <v>98</v>
      </c>
      <c r="H18" s="65"/>
      <c r="I18" s="65"/>
      <c r="J18" s="65"/>
      <c r="K18" s="65"/>
      <c r="L18" s="64"/>
      <c r="M18" s="12">
        <v>3</v>
      </c>
      <c r="N18" s="12">
        <v>2</v>
      </c>
      <c r="O18" s="12">
        <v>2.5</v>
      </c>
      <c r="P18" s="12">
        <f t="shared" si="0"/>
        <v>2.5</v>
      </c>
      <c r="Q18" s="28" t="s">
        <v>30</v>
      </c>
      <c r="R18" s="23"/>
    </row>
    <row r="19" spans="2:18" x14ac:dyDescent="0.15">
      <c r="B19" s="85"/>
      <c r="C19" s="46"/>
      <c r="D19" s="47"/>
      <c r="E19" s="63" t="s">
        <v>103</v>
      </c>
      <c r="F19" s="64"/>
      <c r="G19" s="63" t="s">
        <v>92</v>
      </c>
      <c r="H19" s="65"/>
      <c r="I19" s="65"/>
      <c r="J19" s="65"/>
      <c r="K19" s="65"/>
      <c r="L19" s="64"/>
      <c r="M19" s="12">
        <v>2</v>
      </c>
      <c r="N19" s="12">
        <v>1</v>
      </c>
      <c r="O19" s="12">
        <v>1.5</v>
      </c>
      <c r="P19" s="12">
        <f t="shared" ref="P19" si="1">SUM(M19:O19)/3</f>
        <v>1.5</v>
      </c>
      <c r="Q19" s="22" t="s">
        <v>30</v>
      </c>
      <c r="R19" s="23"/>
    </row>
    <row r="20" spans="2:18" x14ac:dyDescent="0.15">
      <c r="B20" s="85"/>
      <c r="C20" s="46"/>
      <c r="D20" s="47"/>
      <c r="E20" s="66" t="s">
        <v>86</v>
      </c>
      <c r="F20" s="67"/>
      <c r="G20" s="66" t="s">
        <v>87</v>
      </c>
      <c r="H20" s="68"/>
      <c r="I20" s="68"/>
      <c r="J20" s="68"/>
      <c r="K20" s="68"/>
      <c r="L20" s="67"/>
      <c r="M20" s="12">
        <v>0.5</v>
      </c>
      <c r="N20" s="12">
        <v>0.2</v>
      </c>
      <c r="O20" s="12">
        <v>0.3</v>
      </c>
      <c r="P20" s="12">
        <f t="shared" si="0"/>
        <v>0.33333333333333331</v>
      </c>
      <c r="Q20" s="28" t="s">
        <v>30</v>
      </c>
      <c r="R20" s="23"/>
    </row>
    <row r="21" spans="2:18" x14ac:dyDescent="0.15">
      <c r="B21" s="85"/>
      <c r="C21" s="46"/>
      <c r="D21" s="47"/>
      <c r="E21" s="66" t="s">
        <v>84</v>
      </c>
      <c r="F21" s="67"/>
      <c r="G21" s="66" t="s">
        <v>85</v>
      </c>
      <c r="H21" s="68"/>
      <c r="I21" s="68"/>
      <c r="J21" s="68"/>
      <c r="K21" s="68"/>
      <c r="L21" s="67"/>
      <c r="M21" s="12">
        <v>0.5</v>
      </c>
      <c r="N21" s="12">
        <v>0.2</v>
      </c>
      <c r="O21" s="12">
        <v>0.3</v>
      </c>
      <c r="P21" s="12">
        <f t="shared" si="0"/>
        <v>0.33333333333333331</v>
      </c>
      <c r="Q21" s="22" t="s">
        <v>30</v>
      </c>
      <c r="R21" s="23"/>
    </row>
    <row r="22" spans="2:18" x14ac:dyDescent="0.15">
      <c r="B22" s="85"/>
      <c r="C22" s="46"/>
      <c r="D22" s="47"/>
      <c r="E22" s="63" t="s">
        <v>61</v>
      </c>
      <c r="F22" s="64"/>
      <c r="G22" s="63" t="s">
        <v>2</v>
      </c>
      <c r="H22" s="65"/>
      <c r="I22" s="65"/>
      <c r="J22" s="65"/>
      <c r="K22" s="65"/>
      <c r="L22" s="64"/>
      <c r="M22" s="12">
        <v>2</v>
      </c>
      <c r="N22" s="12">
        <v>1</v>
      </c>
      <c r="O22" s="12">
        <v>1.5</v>
      </c>
      <c r="P22" s="12">
        <f t="shared" si="0"/>
        <v>1.5</v>
      </c>
      <c r="Q22" s="28" t="s">
        <v>30</v>
      </c>
      <c r="R22" s="23"/>
    </row>
    <row r="23" spans="2:18" x14ac:dyDescent="0.15">
      <c r="B23" s="85"/>
      <c r="C23" s="46"/>
      <c r="D23" s="47"/>
      <c r="E23" s="63" t="s">
        <v>62</v>
      </c>
      <c r="F23" s="64"/>
      <c r="G23" s="63" t="s">
        <v>104</v>
      </c>
      <c r="H23" s="65"/>
      <c r="I23" s="65"/>
      <c r="J23" s="65"/>
      <c r="K23" s="65"/>
      <c r="L23" s="64"/>
      <c r="M23" s="12">
        <v>0.5</v>
      </c>
      <c r="N23" s="12">
        <v>0.2</v>
      </c>
      <c r="O23" s="12">
        <v>0.3</v>
      </c>
      <c r="P23" s="12">
        <f t="shared" si="0"/>
        <v>0.33333333333333331</v>
      </c>
      <c r="Q23" s="28" t="s">
        <v>30</v>
      </c>
      <c r="R23" s="23"/>
    </row>
    <row r="24" spans="2:18" x14ac:dyDescent="0.15">
      <c r="B24" s="85"/>
      <c r="C24" s="48"/>
      <c r="D24" s="49"/>
      <c r="E24" s="57" t="s">
        <v>0</v>
      </c>
      <c r="F24" s="58"/>
      <c r="G24" s="57" t="s">
        <v>63</v>
      </c>
      <c r="H24" s="59"/>
      <c r="I24" s="59"/>
      <c r="J24" s="59"/>
      <c r="K24" s="59"/>
      <c r="L24" s="58"/>
      <c r="M24" s="13">
        <v>3</v>
      </c>
      <c r="N24" s="13">
        <v>2</v>
      </c>
      <c r="O24" s="13">
        <v>2.5</v>
      </c>
      <c r="P24" s="13">
        <f t="shared" si="0"/>
        <v>2.5</v>
      </c>
      <c r="Q24" s="29" t="s">
        <v>30</v>
      </c>
      <c r="R24" s="25"/>
    </row>
    <row r="25" spans="2:18" x14ac:dyDescent="0.15">
      <c r="B25" s="85"/>
      <c r="C25" s="44" t="s">
        <v>64</v>
      </c>
      <c r="D25" s="45"/>
      <c r="E25" s="52" t="s">
        <v>65</v>
      </c>
      <c r="F25" s="53"/>
      <c r="G25" s="60" t="s">
        <v>66</v>
      </c>
      <c r="H25" s="61"/>
      <c r="I25" s="61"/>
      <c r="J25" s="61"/>
      <c r="K25" s="61"/>
      <c r="L25" s="62"/>
      <c r="M25" s="11">
        <v>1</v>
      </c>
      <c r="N25" s="11">
        <v>0.5</v>
      </c>
      <c r="O25" s="11">
        <v>0.5</v>
      </c>
      <c r="P25" s="11">
        <f>SUM(M25:O25)/3</f>
        <v>0.66666666666666663</v>
      </c>
      <c r="Q25" s="26" t="s">
        <v>30</v>
      </c>
      <c r="R25" s="14"/>
    </row>
    <row r="26" spans="2:18" ht="12" customHeight="1" x14ac:dyDescent="0.15">
      <c r="B26" s="85"/>
      <c r="C26" s="46"/>
      <c r="D26" s="47"/>
      <c r="E26" s="55" t="s">
        <v>68</v>
      </c>
      <c r="F26" s="55"/>
      <c r="G26" s="56" t="s">
        <v>69</v>
      </c>
      <c r="H26" s="56"/>
      <c r="I26" s="56"/>
      <c r="J26" s="56"/>
      <c r="K26" s="56"/>
      <c r="L26" s="56"/>
      <c r="M26" s="12">
        <v>0.5</v>
      </c>
      <c r="N26" s="12">
        <v>0.2</v>
      </c>
      <c r="O26" s="12">
        <v>0.3</v>
      </c>
      <c r="P26" s="12">
        <f t="shared" ref="P26:P42" si="2">SUM(M26:O26)/3</f>
        <v>0.33333333333333331</v>
      </c>
      <c r="Q26" s="30" t="s">
        <v>30</v>
      </c>
      <c r="R26" s="15"/>
    </row>
    <row r="27" spans="2:18" x14ac:dyDescent="0.15">
      <c r="B27" s="85"/>
      <c r="C27" s="48"/>
      <c r="D27" s="49"/>
      <c r="E27" s="35" t="s">
        <v>70</v>
      </c>
      <c r="F27" s="35"/>
      <c r="G27" s="36" t="s">
        <v>71</v>
      </c>
      <c r="H27" s="36"/>
      <c r="I27" s="36"/>
      <c r="J27" s="36"/>
      <c r="K27" s="36"/>
      <c r="L27" s="36"/>
      <c r="M27" s="13">
        <v>2</v>
      </c>
      <c r="N27" s="13">
        <v>1</v>
      </c>
      <c r="O27" s="13">
        <v>1.5</v>
      </c>
      <c r="P27" s="13">
        <f t="shared" si="2"/>
        <v>1.5</v>
      </c>
      <c r="Q27" s="24" t="s">
        <v>30</v>
      </c>
      <c r="R27" s="16"/>
    </row>
    <row r="28" spans="2:18" x14ac:dyDescent="0.15">
      <c r="B28" s="85"/>
      <c r="C28" s="44" t="s">
        <v>72</v>
      </c>
      <c r="D28" s="45"/>
      <c r="E28" s="42" t="s">
        <v>73</v>
      </c>
      <c r="F28" s="42"/>
      <c r="G28" s="43" t="s">
        <v>74</v>
      </c>
      <c r="H28" s="43"/>
      <c r="I28" s="43"/>
      <c r="J28" s="43"/>
      <c r="K28" s="43"/>
      <c r="L28" s="43"/>
      <c r="M28" s="11">
        <v>1</v>
      </c>
      <c r="N28" s="11">
        <v>0.3</v>
      </c>
      <c r="O28" s="11">
        <v>0.5</v>
      </c>
      <c r="P28" s="11">
        <f t="shared" si="2"/>
        <v>0.6</v>
      </c>
      <c r="Q28" s="20" t="s">
        <v>30</v>
      </c>
      <c r="R28" s="14"/>
    </row>
    <row r="29" spans="2:18" ht="12" customHeight="1" x14ac:dyDescent="0.15">
      <c r="B29" s="85"/>
      <c r="C29" s="46"/>
      <c r="D29" s="47"/>
      <c r="E29" s="55" t="s">
        <v>68</v>
      </c>
      <c r="F29" s="55"/>
      <c r="G29" s="56" t="s">
        <v>69</v>
      </c>
      <c r="H29" s="56"/>
      <c r="I29" s="56"/>
      <c r="J29" s="56"/>
      <c r="K29" s="56"/>
      <c r="L29" s="56"/>
      <c r="M29" s="12">
        <v>0.5</v>
      </c>
      <c r="N29" s="12">
        <v>0.1</v>
      </c>
      <c r="O29" s="12">
        <v>0.2</v>
      </c>
      <c r="P29" s="12">
        <f t="shared" si="2"/>
        <v>0.26666666666666666</v>
      </c>
      <c r="Q29" s="28" t="s">
        <v>30</v>
      </c>
      <c r="R29" s="15"/>
    </row>
    <row r="30" spans="2:18" ht="12" customHeight="1" x14ac:dyDescent="0.15">
      <c r="B30" s="85"/>
      <c r="C30" s="48"/>
      <c r="D30" s="49"/>
      <c r="E30" s="35" t="s">
        <v>70</v>
      </c>
      <c r="F30" s="35"/>
      <c r="G30" s="36" t="s">
        <v>75</v>
      </c>
      <c r="H30" s="36"/>
      <c r="I30" s="36"/>
      <c r="J30" s="36"/>
      <c r="K30" s="36"/>
      <c r="L30" s="36"/>
      <c r="M30" s="13">
        <v>1</v>
      </c>
      <c r="N30" s="13">
        <v>0.5</v>
      </c>
      <c r="O30" s="13">
        <v>0.5</v>
      </c>
      <c r="P30" s="13">
        <f t="shared" si="2"/>
        <v>0.66666666666666663</v>
      </c>
      <c r="Q30" s="17" t="s">
        <v>30</v>
      </c>
      <c r="R30" s="16"/>
    </row>
    <row r="31" spans="2:18" x14ac:dyDescent="0.15">
      <c r="B31" s="85"/>
      <c r="C31" s="44" t="s">
        <v>8</v>
      </c>
      <c r="D31" s="45"/>
      <c r="E31" s="42" t="s">
        <v>73</v>
      </c>
      <c r="F31" s="42"/>
      <c r="G31" s="43" t="s">
        <v>12</v>
      </c>
      <c r="H31" s="43"/>
      <c r="I31" s="43"/>
      <c r="J31" s="43"/>
      <c r="K31" s="43"/>
      <c r="L31" s="43"/>
      <c r="M31" s="11">
        <v>1</v>
      </c>
      <c r="N31" s="11">
        <v>0.5</v>
      </c>
      <c r="O31" s="11">
        <v>0.5</v>
      </c>
      <c r="P31" s="11">
        <f t="shared" si="2"/>
        <v>0.66666666666666663</v>
      </c>
      <c r="Q31" s="26" t="s">
        <v>30</v>
      </c>
      <c r="R31" s="14"/>
    </row>
    <row r="32" spans="2:18" ht="12" customHeight="1" x14ac:dyDescent="0.15">
      <c r="B32" s="85"/>
      <c r="C32" s="46"/>
      <c r="D32" s="47"/>
      <c r="E32" s="55" t="s">
        <v>9</v>
      </c>
      <c r="F32" s="55"/>
      <c r="G32" s="56" t="s">
        <v>76</v>
      </c>
      <c r="H32" s="56"/>
      <c r="I32" s="56"/>
      <c r="J32" s="56"/>
      <c r="K32" s="56"/>
      <c r="L32" s="56"/>
      <c r="M32" s="12">
        <v>0.5</v>
      </c>
      <c r="N32" s="12">
        <v>0.2</v>
      </c>
      <c r="O32" s="12">
        <v>0.3</v>
      </c>
      <c r="P32" s="12">
        <f t="shared" si="2"/>
        <v>0.33333333333333331</v>
      </c>
      <c r="Q32" s="30" t="s">
        <v>30</v>
      </c>
      <c r="R32" s="15"/>
    </row>
    <row r="33" spans="2:19" ht="12" customHeight="1" x14ac:dyDescent="0.15">
      <c r="B33" s="85"/>
      <c r="C33" s="46"/>
      <c r="D33" s="47"/>
      <c r="E33" s="55" t="s">
        <v>10</v>
      </c>
      <c r="F33" s="55"/>
      <c r="G33" s="56" t="s">
        <v>77</v>
      </c>
      <c r="H33" s="56"/>
      <c r="I33" s="56"/>
      <c r="J33" s="56"/>
      <c r="K33" s="56"/>
      <c r="L33" s="56"/>
      <c r="M33" s="12">
        <v>0.5</v>
      </c>
      <c r="N33" s="12">
        <v>0.2</v>
      </c>
      <c r="O33" s="12">
        <v>0.3</v>
      </c>
      <c r="P33" s="12">
        <f t="shared" si="2"/>
        <v>0.33333333333333331</v>
      </c>
      <c r="Q33" s="28" t="s">
        <v>30</v>
      </c>
      <c r="R33" s="15"/>
    </row>
    <row r="34" spans="2:19" x14ac:dyDescent="0.15">
      <c r="B34" s="85"/>
      <c r="C34" s="46"/>
      <c r="D34" s="47"/>
      <c r="E34" s="55" t="s">
        <v>11</v>
      </c>
      <c r="F34" s="55"/>
      <c r="G34" s="56" t="s">
        <v>13</v>
      </c>
      <c r="H34" s="56"/>
      <c r="I34" s="56"/>
      <c r="J34" s="56"/>
      <c r="K34" s="56"/>
      <c r="L34" s="56"/>
      <c r="M34" s="12">
        <v>0.5</v>
      </c>
      <c r="N34" s="12">
        <v>0.1</v>
      </c>
      <c r="O34" s="12">
        <v>0.2</v>
      </c>
      <c r="P34" s="12">
        <f t="shared" si="2"/>
        <v>0.26666666666666666</v>
      </c>
      <c r="Q34" s="28" t="s">
        <v>30</v>
      </c>
      <c r="R34" s="15"/>
    </row>
    <row r="35" spans="2:19" ht="12" customHeight="1" x14ac:dyDescent="0.15">
      <c r="B35" s="85"/>
      <c r="C35" s="48"/>
      <c r="D35" s="49"/>
      <c r="E35" s="35" t="s">
        <v>68</v>
      </c>
      <c r="F35" s="35"/>
      <c r="G35" s="36" t="s">
        <v>14</v>
      </c>
      <c r="H35" s="36"/>
      <c r="I35" s="36"/>
      <c r="J35" s="36"/>
      <c r="K35" s="36"/>
      <c r="L35" s="36"/>
      <c r="M35" s="13">
        <v>0.5</v>
      </c>
      <c r="N35" s="13">
        <v>0.1</v>
      </c>
      <c r="O35" s="13">
        <v>0.2</v>
      </c>
      <c r="P35" s="13">
        <f t="shared" si="2"/>
        <v>0.26666666666666666</v>
      </c>
      <c r="Q35" s="17" t="s">
        <v>30</v>
      </c>
      <c r="R35" s="16"/>
    </row>
    <row r="36" spans="2:19" x14ac:dyDescent="0.15">
      <c r="B36" s="85"/>
      <c r="C36" s="44" t="s">
        <v>15</v>
      </c>
      <c r="D36" s="45"/>
      <c r="E36" s="42" t="s">
        <v>16</v>
      </c>
      <c r="F36" s="42"/>
      <c r="G36" s="43" t="s">
        <v>78</v>
      </c>
      <c r="H36" s="43"/>
      <c r="I36" s="43"/>
      <c r="J36" s="43"/>
      <c r="K36" s="43"/>
      <c r="L36" s="43"/>
      <c r="M36" s="11"/>
      <c r="N36" s="11"/>
      <c r="O36" s="11"/>
      <c r="P36" s="11"/>
      <c r="Q36" s="20" t="s">
        <v>30</v>
      </c>
      <c r="R36" s="14"/>
    </row>
    <row r="37" spans="2:19" ht="12" customHeight="1" x14ac:dyDescent="0.15">
      <c r="B37" s="85"/>
      <c r="C37" s="48"/>
      <c r="D37" s="49"/>
      <c r="E37" s="35" t="s">
        <v>79</v>
      </c>
      <c r="F37" s="35"/>
      <c r="G37" s="36" t="s">
        <v>80</v>
      </c>
      <c r="H37" s="36"/>
      <c r="I37" s="36"/>
      <c r="J37" s="36"/>
      <c r="K37" s="36"/>
      <c r="L37" s="36"/>
      <c r="M37" s="13"/>
      <c r="N37" s="13"/>
      <c r="O37" s="13"/>
      <c r="P37" s="13"/>
      <c r="Q37" s="17" t="s">
        <v>30</v>
      </c>
      <c r="R37" s="16"/>
    </row>
    <row r="38" spans="2:19" x14ac:dyDescent="0.15">
      <c r="B38" s="85"/>
      <c r="C38" s="44" t="s">
        <v>81</v>
      </c>
      <c r="D38" s="45"/>
      <c r="E38" s="42" t="s">
        <v>82</v>
      </c>
      <c r="F38" s="42"/>
      <c r="G38" s="43" t="s">
        <v>19</v>
      </c>
      <c r="H38" s="43"/>
      <c r="I38" s="43"/>
      <c r="J38" s="43"/>
      <c r="K38" s="43"/>
      <c r="L38" s="43"/>
      <c r="M38" s="11">
        <v>1</v>
      </c>
      <c r="N38" s="11">
        <v>0.5</v>
      </c>
      <c r="O38" s="11">
        <v>0.5</v>
      </c>
      <c r="P38" s="11">
        <f t="shared" si="2"/>
        <v>0.66666666666666663</v>
      </c>
      <c r="Q38" s="20" t="s">
        <v>30</v>
      </c>
      <c r="R38" s="14"/>
    </row>
    <row r="39" spans="2:19" ht="12" customHeight="1" x14ac:dyDescent="0.15">
      <c r="B39" s="85"/>
      <c r="C39" s="46"/>
      <c r="D39" s="47"/>
      <c r="E39" s="55" t="s">
        <v>17</v>
      </c>
      <c r="F39" s="55"/>
      <c r="G39" s="56" t="s">
        <v>20</v>
      </c>
      <c r="H39" s="56"/>
      <c r="I39" s="56"/>
      <c r="J39" s="56"/>
      <c r="K39" s="56"/>
      <c r="L39" s="56"/>
      <c r="M39" s="12">
        <v>2</v>
      </c>
      <c r="N39" s="12">
        <v>1</v>
      </c>
      <c r="O39" s="12">
        <v>1</v>
      </c>
      <c r="P39" s="12">
        <f t="shared" si="2"/>
        <v>1.3333333333333333</v>
      </c>
      <c r="Q39" s="22" t="s">
        <v>30</v>
      </c>
      <c r="R39" s="15"/>
    </row>
    <row r="40" spans="2:19" ht="12" customHeight="1" x14ac:dyDescent="0.15">
      <c r="B40" s="85"/>
      <c r="C40" s="48"/>
      <c r="D40" s="49"/>
      <c r="E40" s="35" t="s">
        <v>18</v>
      </c>
      <c r="F40" s="35"/>
      <c r="G40" s="36" t="s">
        <v>83</v>
      </c>
      <c r="H40" s="36"/>
      <c r="I40" s="36"/>
      <c r="J40" s="36"/>
      <c r="K40" s="36"/>
      <c r="L40" s="36"/>
      <c r="M40" s="13">
        <v>3</v>
      </c>
      <c r="N40" s="13">
        <v>2</v>
      </c>
      <c r="O40" s="13">
        <v>2.5</v>
      </c>
      <c r="P40" s="13">
        <f t="shared" si="2"/>
        <v>2.5</v>
      </c>
      <c r="Q40" s="24" t="s">
        <v>94</v>
      </c>
      <c r="R40" s="16"/>
    </row>
    <row r="41" spans="2:19" x14ac:dyDescent="0.15">
      <c r="B41" s="85"/>
      <c r="C41" s="44" t="s">
        <v>21</v>
      </c>
      <c r="D41" s="45"/>
      <c r="E41" s="42" t="s">
        <v>22</v>
      </c>
      <c r="F41" s="42"/>
      <c r="G41" s="43" t="s">
        <v>26</v>
      </c>
      <c r="H41" s="43"/>
      <c r="I41" s="43"/>
      <c r="J41" s="43"/>
      <c r="K41" s="43"/>
      <c r="L41" s="43"/>
      <c r="M41" s="11">
        <v>1.2</v>
      </c>
      <c r="N41" s="11">
        <v>0.5</v>
      </c>
      <c r="O41" s="11">
        <v>1</v>
      </c>
      <c r="P41" s="11">
        <f t="shared" si="2"/>
        <v>0.9</v>
      </c>
      <c r="Q41" s="20" t="s">
        <v>30</v>
      </c>
      <c r="R41" s="14"/>
    </row>
    <row r="42" spans="2:19" x14ac:dyDescent="0.15">
      <c r="B42" s="85"/>
      <c r="C42" s="48"/>
      <c r="D42" s="49"/>
      <c r="E42" s="35" t="s">
        <v>23</v>
      </c>
      <c r="F42" s="35"/>
      <c r="G42" s="36" t="s">
        <v>28</v>
      </c>
      <c r="H42" s="36"/>
      <c r="I42" s="36"/>
      <c r="J42" s="36"/>
      <c r="K42" s="36"/>
      <c r="L42" s="36"/>
      <c r="M42" s="13">
        <v>0</v>
      </c>
      <c r="N42" s="13">
        <v>0</v>
      </c>
      <c r="O42" s="13">
        <v>0</v>
      </c>
      <c r="P42" s="13">
        <f t="shared" si="2"/>
        <v>0</v>
      </c>
      <c r="Q42" s="17" t="s">
        <v>30</v>
      </c>
      <c r="R42" s="16"/>
    </row>
    <row r="43" spans="2:19" ht="12" customHeight="1" x14ac:dyDescent="0.15">
      <c r="B43" s="85"/>
      <c r="C43" s="44" t="s">
        <v>24</v>
      </c>
      <c r="D43" s="45"/>
      <c r="E43" s="37" t="s">
        <v>22</v>
      </c>
      <c r="F43" s="38"/>
      <c r="G43" s="39" t="s">
        <v>27</v>
      </c>
      <c r="H43" s="40"/>
      <c r="I43" s="40"/>
      <c r="J43" s="40"/>
      <c r="K43" s="40"/>
      <c r="L43" s="41"/>
      <c r="M43" s="27"/>
      <c r="N43" s="27"/>
      <c r="O43" s="27"/>
      <c r="P43" s="27"/>
      <c r="Q43" s="26" t="s">
        <v>30</v>
      </c>
      <c r="R43" s="31"/>
    </row>
    <row r="44" spans="2:19" x14ac:dyDescent="0.15">
      <c r="B44" s="85"/>
      <c r="C44" s="48"/>
      <c r="D44" s="49"/>
      <c r="E44" s="35" t="s">
        <v>25</v>
      </c>
      <c r="F44" s="35"/>
      <c r="G44" s="36" t="s">
        <v>28</v>
      </c>
      <c r="H44" s="36"/>
      <c r="I44" s="36"/>
      <c r="J44" s="36"/>
      <c r="K44" s="36"/>
      <c r="L44" s="36"/>
      <c r="M44" s="13"/>
      <c r="N44" s="13"/>
      <c r="O44" s="13"/>
      <c r="P44" s="13"/>
      <c r="Q44" s="32" t="s">
        <v>30</v>
      </c>
      <c r="R44" s="16"/>
    </row>
    <row r="45" spans="2:19" x14ac:dyDescent="0.15">
      <c r="B45" s="85"/>
      <c r="C45" s="50" t="s">
        <v>90</v>
      </c>
      <c r="D45" s="51"/>
      <c r="E45" s="52" t="s">
        <v>91</v>
      </c>
      <c r="F45" s="53"/>
      <c r="G45" s="52" t="s">
        <v>93</v>
      </c>
      <c r="H45" s="54"/>
      <c r="I45" s="54"/>
      <c r="J45" s="54"/>
      <c r="K45" s="54"/>
      <c r="L45" s="53"/>
      <c r="M45" s="11">
        <v>3</v>
      </c>
      <c r="N45" s="11">
        <v>2</v>
      </c>
      <c r="O45" s="11">
        <v>2.5</v>
      </c>
      <c r="P45" s="11">
        <f>SUM(M45:O45)/3</f>
        <v>2.5</v>
      </c>
      <c r="Q45" s="20" t="s">
        <v>30</v>
      </c>
      <c r="R45" s="21"/>
    </row>
    <row r="46" spans="2:19" x14ac:dyDescent="0.15">
      <c r="B46" s="86"/>
      <c r="C46" s="33" t="s">
        <v>67</v>
      </c>
      <c r="D46" s="33"/>
      <c r="E46" s="33"/>
      <c r="F46" s="33"/>
      <c r="G46" s="34"/>
      <c r="H46" s="34"/>
      <c r="I46" s="34"/>
      <c r="J46" s="34"/>
      <c r="K46" s="34"/>
      <c r="L46" s="34"/>
      <c r="M46" s="19">
        <f>SUM(M8:M45)</f>
        <v>45.400000000000006</v>
      </c>
      <c r="N46" s="19">
        <f>SUM(N8:N45)</f>
        <v>23.1</v>
      </c>
      <c r="O46" s="19">
        <f>SUM(O8:O45)</f>
        <v>31.3</v>
      </c>
      <c r="P46" s="19">
        <f>SUM(P8:P45)</f>
        <v>33.266666666666666</v>
      </c>
      <c r="Q46" s="17"/>
      <c r="R46" s="18"/>
      <c r="S46" s="6"/>
    </row>
  </sheetData>
  <mergeCells count="104">
    <mergeCell ref="B2:H2"/>
    <mergeCell ref="B3:F3"/>
    <mergeCell ref="G3:H3"/>
    <mergeCell ref="B4:F4"/>
    <mergeCell ref="G4:H4"/>
    <mergeCell ref="B5:D5"/>
    <mergeCell ref="E8:F8"/>
    <mergeCell ref="G8:L8"/>
    <mergeCell ref="B6:B7"/>
    <mergeCell ref="C6:D7"/>
    <mergeCell ref="E6:F7"/>
    <mergeCell ref="G6:L7"/>
    <mergeCell ref="B8:B46"/>
    <mergeCell ref="E14:F14"/>
    <mergeCell ref="G14:L14"/>
    <mergeCell ref="E15:F15"/>
    <mergeCell ref="G15:L15"/>
    <mergeCell ref="E16:F16"/>
    <mergeCell ref="G16:L16"/>
    <mergeCell ref="C13:D15"/>
    <mergeCell ref="C8:D10"/>
    <mergeCell ref="C11:D12"/>
    <mergeCell ref="E22:F22"/>
    <mergeCell ref="G22:L22"/>
    <mergeCell ref="Q6:Q7"/>
    <mergeCell ref="R6:R7"/>
    <mergeCell ref="E12:F12"/>
    <mergeCell ref="G12:L12"/>
    <mergeCell ref="E13:F13"/>
    <mergeCell ref="G13:L13"/>
    <mergeCell ref="E10:F10"/>
    <mergeCell ref="G10:L10"/>
    <mergeCell ref="E11:F11"/>
    <mergeCell ref="G11:L11"/>
    <mergeCell ref="E9:F9"/>
    <mergeCell ref="G9:L9"/>
    <mergeCell ref="E23:F23"/>
    <mergeCell ref="G23:L23"/>
    <mergeCell ref="C16:D24"/>
    <mergeCell ref="E17:F17"/>
    <mergeCell ref="G17:L17"/>
    <mergeCell ref="E18:F18"/>
    <mergeCell ref="G18:L18"/>
    <mergeCell ref="E26:F26"/>
    <mergeCell ref="G26:L26"/>
    <mergeCell ref="E19:F19"/>
    <mergeCell ref="G19:L19"/>
    <mergeCell ref="E21:F21"/>
    <mergeCell ref="G21:L21"/>
    <mergeCell ref="E20:F20"/>
    <mergeCell ref="G20:L20"/>
    <mergeCell ref="E27:F27"/>
    <mergeCell ref="G27:L27"/>
    <mergeCell ref="C25:D27"/>
    <mergeCell ref="E24:F24"/>
    <mergeCell ref="G24:L24"/>
    <mergeCell ref="E25:F25"/>
    <mergeCell ref="G25:L25"/>
    <mergeCell ref="G35:L35"/>
    <mergeCell ref="C31:D35"/>
    <mergeCell ref="C36:D37"/>
    <mergeCell ref="E32:F32"/>
    <mergeCell ref="G32:L32"/>
    <mergeCell ref="E33:F33"/>
    <mergeCell ref="G33:L33"/>
    <mergeCell ref="E30:F30"/>
    <mergeCell ref="G30:L30"/>
    <mergeCell ref="E31:F31"/>
    <mergeCell ref="G31:L31"/>
    <mergeCell ref="C28:D30"/>
    <mergeCell ref="E28:F28"/>
    <mergeCell ref="G28:L28"/>
    <mergeCell ref="E29:F29"/>
    <mergeCell ref="G29:L29"/>
    <mergeCell ref="E36:F36"/>
    <mergeCell ref="G36:L36"/>
    <mergeCell ref="E37:F37"/>
    <mergeCell ref="G37:L37"/>
    <mergeCell ref="E34:F34"/>
    <mergeCell ref="G34:L34"/>
    <mergeCell ref="E35:F35"/>
    <mergeCell ref="C46:D46"/>
    <mergeCell ref="E46:F46"/>
    <mergeCell ref="G46:L46"/>
    <mergeCell ref="E42:F42"/>
    <mergeCell ref="G42:L42"/>
    <mergeCell ref="E43:F43"/>
    <mergeCell ref="G43:L43"/>
    <mergeCell ref="E40:F40"/>
    <mergeCell ref="G40:L40"/>
    <mergeCell ref="E41:F41"/>
    <mergeCell ref="G41:L41"/>
    <mergeCell ref="C38:D40"/>
    <mergeCell ref="C41:D42"/>
    <mergeCell ref="C43:D44"/>
    <mergeCell ref="C45:D45"/>
    <mergeCell ref="E45:F45"/>
    <mergeCell ref="G45:L45"/>
    <mergeCell ref="E44:F44"/>
    <mergeCell ref="G44:L44"/>
    <mergeCell ref="E38:F38"/>
    <mergeCell ref="G38:L38"/>
    <mergeCell ref="E39:F39"/>
    <mergeCell ref="G39:L39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WBS(개발)_v1.1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219</cp:lastModifiedBy>
  <cp:lastPrinted>2010-07-21T07:12:22Z</cp:lastPrinted>
  <dcterms:created xsi:type="dcterms:W3CDTF">2003-09-02T09:52:06Z</dcterms:created>
  <dcterms:modified xsi:type="dcterms:W3CDTF">2019-01-17T08:22:27Z</dcterms:modified>
</cp:coreProperties>
</file>