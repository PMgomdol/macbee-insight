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W:\00. 공통 프로젝트\(1) 진행중 프로젝트\2021-05-12 인바운드 마케팅 - 콜매물 시스템 (앱)개발\인바운드 마케팅 제안\모이다\버전관리\"/>
    </mc:Choice>
  </mc:AlternateContent>
  <xr:revisionPtr revIDLastSave="0" documentId="13_ncr:1_{FD62AF17-B9FC-4F8F-8119-BDFE637D9CCB}" xr6:coauthVersionLast="47" xr6:coauthVersionMax="47" xr10:uidLastSave="{00000000-0000-0000-0000-000000000000}"/>
  <bookViews>
    <workbookView xWindow="1875" yWindow="1080" windowWidth="25695" windowHeight="14685" xr2:uid="{00000000-000D-0000-FFFF-FFFF00000000}"/>
  </bookViews>
  <sheets>
    <sheet name="연간실행안B (네이버 제외)" sheetId="15" r:id="rId1"/>
  </sheets>
  <definedNames>
    <definedName name="_xlnm.Print_Area" localSheetId="0">'연간실행안B (네이버 제외)'!$B$2:$T$57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5" l="1"/>
  <c r="J40" i="15" l="1"/>
  <c r="F40" i="15"/>
  <c r="E40" i="15"/>
  <c r="D40" i="15"/>
  <c r="T39" i="15"/>
  <c r="P33" i="15"/>
  <c r="N33" i="15"/>
  <c r="L33" i="15"/>
  <c r="K33" i="15"/>
  <c r="J33" i="15"/>
  <c r="I33" i="15"/>
  <c r="H33" i="15"/>
  <c r="G33" i="15"/>
  <c r="F33" i="15"/>
  <c r="E33" i="15"/>
  <c r="D33" i="15"/>
  <c r="D34" i="15" s="1"/>
  <c r="T32" i="15"/>
  <c r="T31" i="15"/>
  <c r="T29" i="15"/>
  <c r="T28" i="15"/>
  <c r="T27" i="15"/>
  <c r="T26" i="15"/>
  <c r="T25" i="15"/>
  <c r="T24" i="15"/>
  <c r="T22" i="15"/>
  <c r="T19" i="15"/>
  <c r="T14" i="15"/>
  <c r="T13" i="15"/>
  <c r="T12" i="15"/>
  <c r="T11" i="15"/>
  <c r="T33" i="15" l="1"/>
  <c r="E34" i="15"/>
</calcChain>
</file>

<file path=xl/sharedStrings.xml><?xml version="1.0" encoding="utf-8"?>
<sst xmlns="http://schemas.openxmlformats.org/spreadsheetml/2006/main" count="156" uniqueCount="136">
  <si>
    <t>합계</t>
    <phoneticPr fontId="2" type="noConversion"/>
  </si>
  <si>
    <t>2명</t>
    <phoneticPr fontId="2" type="noConversion"/>
  </si>
  <si>
    <t>페이스북 타겟광고, 인플루언서 홍보의 경우
섭외대상의 팔로워 수치에 따라 금액이 변동될 수 있음.</t>
    <phoneticPr fontId="2" type="noConversion"/>
  </si>
  <si>
    <t>공식계정
최적화 운용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</si>
  <si>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합계금액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(단위:만원)</t>
    </r>
    <phoneticPr fontId="2" type="noConversion"/>
  </si>
  <si>
    <t>** 부가세 별도</t>
    <phoneticPr fontId="2" type="noConversion"/>
  </si>
  <si>
    <t>광고 효율 분석</t>
    <phoneticPr fontId="2" type="noConversion"/>
  </si>
  <si>
    <t>1.5명</t>
    <phoneticPr fontId="2" type="noConversion"/>
  </si>
  <si>
    <t>투입인력</t>
    <phoneticPr fontId="2" type="noConversion"/>
  </si>
  <si>
    <t>운용목표
(KPI)</t>
    <phoneticPr fontId="2" type="noConversion"/>
  </si>
  <si>
    <t>구 분</t>
    <phoneticPr fontId="2" type="noConversion"/>
  </si>
  <si>
    <t>운용목적</t>
    <phoneticPr fontId="2" type="noConversion"/>
  </si>
  <si>
    <t>경쟁키워드 대비,
상위노출방안 기획</t>
    <phoneticPr fontId="2" type="noConversion"/>
  </si>
  <si>
    <t>ROAS 향상을 위한
온라인 데이터
수시 관리 및 기획</t>
    <phoneticPr fontId="2" type="noConversion"/>
  </si>
  <si>
    <t>유튜브 광고</t>
    <phoneticPr fontId="2" type="noConversion"/>
  </si>
  <si>
    <t>연간 운용목표</t>
    <phoneticPr fontId="2" type="noConversion"/>
  </si>
  <si>
    <t>(영상제작가 네고)</t>
    <phoneticPr fontId="2" type="noConversion"/>
  </si>
  <si>
    <t>가. 콘텐츠 제작 및 유튜브 광고</t>
    <phoneticPr fontId="2" type="noConversion"/>
  </si>
  <si>
    <t>1개월차</t>
    <phoneticPr fontId="2" type="noConversion"/>
  </si>
  <si>
    <t>2개월차</t>
    <phoneticPr fontId="2" type="noConversion"/>
  </si>
  <si>
    <t>12개월차</t>
    <phoneticPr fontId="2" type="noConversion"/>
  </si>
  <si>
    <t>홍보 영상</t>
    <phoneticPr fontId="2" type="noConversion"/>
  </si>
  <si>
    <t>운용 목적</t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</si>
  <si>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SA 광고</t>
    </r>
    <r>
      <rPr>
        <b/>
        <sz val="12"/>
        <color theme="1"/>
        <rFont val="맑은 고딕"/>
        <family val="3"/>
        <charset val="129"/>
        <scheme val="minor"/>
      </rPr>
      <t xml:space="preserve">
</t>
    </r>
    <r>
      <rPr>
        <sz val="12"/>
        <color theme="1"/>
        <rFont val="맑은 고딕"/>
        <family val="3"/>
        <charset val="129"/>
        <scheme val="minor"/>
      </rPr>
      <t>(키워드광고)</t>
    </r>
    <phoneticPr fontId="2" type="noConversion"/>
  </si>
  <si>
    <r>
      <t>전체 채널 데이터관리,</t>
    </r>
    <r>
      <rPr>
        <b/>
        <sz val="12"/>
        <rFont val="맑은 고딕"/>
        <family val="3"/>
        <charset val="129"/>
      </rPr>
      <t xml:space="preserve"> 
"정기미팅 참여 및 운용 보고서"
(컨설팅, 분석, 보고활동 포함)</t>
    </r>
    <phoneticPr fontId="2" type="noConversion"/>
  </si>
  <si>
    <t>2명</t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</si>
  <si>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DA 광고</t>
    </r>
    <r>
      <rPr>
        <b/>
        <sz val="12"/>
        <color theme="1"/>
        <rFont val="맑은 고딕"/>
        <family val="3"/>
        <charset val="129"/>
        <scheme val="minor"/>
      </rPr>
      <t xml:space="preserve">
</t>
    </r>
    <r>
      <rPr>
        <sz val="12"/>
        <color theme="1"/>
        <rFont val="맑은 고딕"/>
        <family val="3"/>
        <charset val="129"/>
        <scheme val="minor"/>
      </rPr>
      <t>(리타겟팅)</t>
    </r>
    <phoneticPr fontId="2" type="noConversion"/>
  </si>
  <si>
    <t>3.5명</t>
    <phoneticPr fontId="2" type="noConversion"/>
  </si>
  <si>
    <t>광고소재 기획 및 광고 운영,
광고물 디자인 제작</t>
    <phoneticPr fontId="2" type="noConversion"/>
  </si>
  <si>
    <t>3개월차</t>
    <phoneticPr fontId="2" type="noConversion"/>
  </si>
  <si>
    <t>6개월차</t>
    <phoneticPr fontId="2" type="noConversion"/>
  </si>
  <si>
    <t>새해맞이</t>
    <phoneticPr fontId="2" type="noConversion"/>
  </si>
  <si>
    <r>
      <t xml:space="preserve">프로모션 홍보 영상 (타이포그래피형)
</t>
    </r>
    <r>
      <rPr>
        <b/>
        <sz val="11"/>
        <color rgb="FF0070C0"/>
        <rFont val="맑은 고딕"/>
        <family val="3"/>
        <charset val="129"/>
        <scheme val="minor"/>
      </rPr>
      <t>*SNS홍보용, 15~30초내 제작</t>
    </r>
    <phoneticPr fontId="2" type="noConversion"/>
  </si>
  <si>
    <t>3명</t>
    <phoneticPr fontId="2" type="noConversion"/>
  </si>
  <si>
    <t>구독자
2만명 이상 확보</t>
    <phoneticPr fontId="2" type="noConversion"/>
  </si>
  <si>
    <r>
      <t xml:space="preserve">인스타그램 인플루언서 홍보
</t>
    </r>
    <r>
      <rPr>
        <sz val="11"/>
        <color rgb="FFFF0000"/>
        <rFont val="맑은 고딕"/>
        <family val="3"/>
        <charset val="129"/>
        <scheme val="minor"/>
      </rPr>
      <t>(병원관련 소셜 / 어플 플랫폼 활용)</t>
    </r>
    <phoneticPr fontId="2" type="noConversion"/>
  </si>
  <si>
    <t>브랜드 채널 및
프로모션 홍보</t>
    <phoneticPr fontId="2" type="noConversion"/>
  </si>
  <si>
    <t>나. 온라인 마케팅 : 광고 확장형 플랜</t>
    <phoneticPr fontId="2" type="noConversion"/>
  </si>
  <si>
    <t>네이버 키워드 광고</t>
    <phoneticPr fontId="2" type="noConversion"/>
  </si>
  <si>
    <t>10월</t>
    <phoneticPr fontId="2" type="noConversion"/>
  </si>
  <si>
    <t>11월</t>
    <phoneticPr fontId="2" type="noConversion"/>
  </si>
  <si>
    <t>2021년 1월</t>
    <phoneticPr fontId="2" type="noConversion"/>
  </si>
  <si>
    <t>2021년 2월</t>
    <phoneticPr fontId="2" type="noConversion"/>
  </si>
  <si>
    <t>2022년 3월</t>
    <phoneticPr fontId="2" type="noConversion"/>
  </si>
  <si>
    <t>4개월차</t>
    <phoneticPr fontId="2" type="noConversion"/>
  </si>
  <si>
    <t>5개월차</t>
    <phoneticPr fontId="2" type="noConversion"/>
  </si>
  <si>
    <t>7개월차</t>
    <phoneticPr fontId="2" type="noConversion"/>
  </si>
  <si>
    <t>8개월차</t>
    <phoneticPr fontId="2" type="noConversion"/>
  </si>
  <si>
    <t>준비기간</t>
    <phoneticPr fontId="2" type="noConversion"/>
  </si>
  <si>
    <t>9개월차</t>
    <phoneticPr fontId="2" type="noConversion"/>
  </si>
  <si>
    <t>10개월차</t>
    <phoneticPr fontId="2" type="noConversion"/>
  </si>
  <si>
    <t>11개월차</t>
    <phoneticPr fontId="2" type="noConversion"/>
  </si>
  <si>
    <t>2021년 4월</t>
    <phoneticPr fontId="2" type="noConversion"/>
  </si>
  <si>
    <t>2021년 5월</t>
    <phoneticPr fontId="2" type="noConversion"/>
  </si>
  <si>
    <t>3단계 [매체광고 확장, 매출 상승]</t>
  </si>
  <si>
    <t>2단계 [키워드 확장]</t>
    <phoneticPr fontId="2" type="noConversion"/>
  </si>
  <si>
    <t>[리뉴얼 초기]</t>
    <phoneticPr fontId="2" type="noConversion"/>
  </si>
  <si>
    <t>페이스북 최적화 운용</t>
    <phoneticPr fontId="2" type="noConversion"/>
  </si>
  <si>
    <t>누적 팔로워 수
2,000명 이상</t>
    <phoneticPr fontId="2" type="noConversion"/>
  </si>
  <si>
    <t>1명</t>
    <phoneticPr fontId="2" type="noConversion"/>
  </si>
  <si>
    <t>1명</t>
    <phoneticPr fontId="2" type="noConversion"/>
  </si>
  <si>
    <t>친구 추가 수
2,000명 돌파
(일 방문자 500명~)</t>
    <phoneticPr fontId="2" type="noConversion"/>
  </si>
  <si>
    <t>2021년 8-9월</t>
    <phoneticPr fontId="2" type="noConversion"/>
  </si>
  <si>
    <t>12월</t>
    <phoneticPr fontId="2" type="noConversion"/>
  </si>
  <si>
    <t>2022년 6월</t>
    <phoneticPr fontId="2" type="noConversion"/>
  </si>
  <si>
    <t>2021년 7월</t>
    <phoneticPr fontId="2" type="noConversion"/>
  </si>
  <si>
    <t>2021년 8월</t>
    <phoneticPr fontId="2" type="noConversion"/>
  </si>
  <si>
    <t>2021년 9월</t>
    <phoneticPr fontId="2" type="noConversion"/>
  </si>
  <si>
    <t>1단계  [콘텐츠 최적화, 앱 개발]</t>
    <phoneticPr fontId="2" type="noConversion"/>
  </si>
  <si>
    <t>6명</t>
    <phoneticPr fontId="2" type="noConversion"/>
  </si>
  <si>
    <t>4명</t>
    <phoneticPr fontId="2" type="noConversion"/>
  </si>
  <si>
    <t>브랜드 홍보영상
(브랜드필름)</t>
    <phoneticPr fontId="2" type="noConversion"/>
  </si>
  <si>
    <t>브랜드 공식계정 및
대외 노출용</t>
    <phoneticPr fontId="2" type="noConversion"/>
  </si>
  <si>
    <r>
      <t xml:space="preserve">*유튜브 영상 광고  </t>
    </r>
    <r>
      <rPr>
        <b/>
        <sz val="11"/>
        <color rgb="FFFF0000"/>
        <rFont val="맑은 고딕"/>
        <family val="3"/>
        <charset val="129"/>
        <scheme val="minor"/>
      </rPr>
      <t>*광고실비</t>
    </r>
    <r>
      <rPr>
        <b/>
        <sz val="11"/>
        <color theme="1"/>
        <rFont val="맑은 고딕"/>
        <family val="3"/>
        <charset val="129"/>
        <scheme val="minor"/>
      </rPr>
      <t xml:space="preserve">
(광고 집행비로만 구성)</t>
    </r>
    <phoneticPr fontId="2" type="noConversion"/>
  </si>
  <si>
    <t>NAVER 공식블로그 운용</t>
    <phoneticPr fontId="2" type="noConversion"/>
  </si>
  <si>
    <t>*구글 SA 키워드 광고</t>
    <phoneticPr fontId="2" type="noConversion"/>
  </si>
  <si>
    <t>노출 키워드 기획/연구, 광고 운영비
(SA광고(계정) 상시 관리 등 유지관리)</t>
    <phoneticPr fontId="2" type="noConversion"/>
  </si>
  <si>
    <t>홍보기사 송출 (월 2건~)</t>
    <phoneticPr fontId="2" type="noConversion"/>
  </si>
  <si>
    <t>*NAVER 카페, 연관 커뮤니티 광고
(부동산/상가 관련)</t>
    <phoneticPr fontId="2" type="noConversion"/>
  </si>
  <si>
    <r>
      <t xml:space="preserve">Q n A 시리즈 영상 
</t>
    </r>
    <r>
      <rPr>
        <b/>
        <sz val="11"/>
        <color rgb="FF0070C0"/>
        <rFont val="맑은 고딕"/>
        <family val="3"/>
        <charset val="129"/>
        <scheme val="minor"/>
      </rPr>
      <t>*유튜브 채널 확장용, 월 4편
(월 2회 촬영, 편당 10분)</t>
    </r>
    <phoneticPr fontId="2" type="noConversion"/>
  </si>
  <si>
    <r>
      <t xml:space="preserve">앱 홍보 영상 (셀럽모델)
</t>
    </r>
    <r>
      <rPr>
        <b/>
        <sz val="11"/>
        <color rgb="FF0070C0"/>
        <rFont val="맑은 고딕"/>
        <family val="3"/>
        <charset val="129"/>
        <scheme val="minor"/>
      </rPr>
      <t>*1분 30초~ 2분 내외</t>
    </r>
    <phoneticPr fontId="2" type="noConversion"/>
  </si>
  <si>
    <t>누적 조회수
편당 5천뷰 이상</t>
    <phoneticPr fontId="2" type="noConversion"/>
  </si>
  <si>
    <t>정기 시리즈 영상
*매물 및 입점사례
Q&amp;A 가이드</t>
    <phoneticPr fontId="2" type="noConversion"/>
  </si>
  <si>
    <t>봄 시즌</t>
    <phoneticPr fontId="2" type="noConversion"/>
  </si>
  <si>
    <t>SNS 활성화,
편당 1만뷰 이상</t>
    <phoneticPr fontId="2" type="noConversion"/>
  </si>
  <si>
    <t>6초/15초/30초
앱 다운로드 유도</t>
    <phoneticPr fontId="2" type="noConversion"/>
  </si>
  <si>
    <r>
      <t xml:space="preserve">광고 소재 기획 및 광고 업로드 관리
</t>
    </r>
    <r>
      <rPr>
        <b/>
        <sz val="11"/>
        <color rgb="FF00B050"/>
        <rFont val="맑은 고딕"/>
        <family val="3"/>
        <charset val="129"/>
        <scheme val="minor"/>
      </rPr>
      <t>(광고 실비의 10%만 책정)</t>
    </r>
    <phoneticPr fontId="2" type="noConversion"/>
  </si>
  <si>
    <t>트리뷰 인스트림,
디스커버리 광고 운용</t>
    <phoneticPr fontId="2" type="noConversion"/>
  </si>
  <si>
    <t>창업/부동산 박람회</t>
    <phoneticPr fontId="2" type="noConversion"/>
  </si>
  <si>
    <t>앱 오픈</t>
    <phoneticPr fontId="2" type="noConversion"/>
  </si>
  <si>
    <t>*유튜브 채널 관리</t>
    <phoneticPr fontId="2" type="noConversion"/>
  </si>
  <si>
    <t>(댓글이벤트 및 키워드 설정 포함)</t>
    <phoneticPr fontId="2" type="noConversion"/>
  </si>
  <si>
    <t>카드뉴스 월 4건,
인스타 리그램 포함,
타겟광고용 콘텐츠 제작</t>
    <phoneticPr fontId="2" type="noConversion"/>
  </si>
  <si>
    <t>인스타그램 최적화, 리그램 운용
( +카카오 채널 Push 포함)</t>
    <phoneticPr fontId="2" type="noConversion"/>
  </si>
  <si>
    <t>*SNS 게시물 광고 + 타겟광고 실비
(타겟광고, 스폰서드/스토리 광고)</t>
    <phoneticPr fontId="2" type="noConversion"/>
  </si>
  <si>
    <t>SNS 공식채널 및
프로모션 활성화</t>
    <phoneticPr fontId="2" type="noConversion"/>
  </si>
  <si>
    <t>ROAS
목표 수치
250%</t>
    <phoneticPr fontId="2" type="noConversion"/>
  </si>
  <si>
    <t>커뮤니티 배너광고,
네이버 view 노출</t>
    <phoneticPr fontId="2" type="noConversion"/>
  </si>
  <si>
    <t>브랜드/앱 소식 노출</t>
    <phoneticPr fontId="2" type="noConversion"/>
  </si>
  <si>
    <t>키워드 상위노출,
매매 및 광고예약 유도</t>
    <phoneticPr fontId="2" type="noConversion"/>
  </si>
  <si>
    <r>
      <rPr>
        <b/>
        <sz val="12"/>
        <color rgb="FFFF0000"/>
        <rFont val="맑은 고딕"/>
        <family val="3"/>
        <charset val="129"/>
        <scheme val="minor"/>
      </rPr>
      <t>[배너형, 리타겟팅 광고]</t>
    </r>
    <r>
      <rPr>
        <sz val="10"/>
        <color rgb="FFFF0000"/>
        <rFont val="맑은 고딕"/>
        <family val="3"/>
        <charset val="129"/>
        <scheme val="minor"/>
      </rPr>
      <t xml:space="preserve">
(모비온, GDN, 타게팅게이츠 등 동시운용)</t>
    </r>
    <phoneticPr fontId="2" type="noConversion"/>
  </si>
  <si>
    <t>다. 인플루언서 / 미디어 홍보</t>
    <phoneticPr fontId="2" type="noConversion"/>
  </si>
  <si>
    <t>스토리보드 기획/제작 및 진행비</t>
    <phoneticPr fontId="2" type="noConversion"/>
  </si>
  <si>
    <t>플랫폼 인지도 상승,
리뷰형 광고 확보
키워드 검색 시
상위노출 유도</t>
    <phoneticPr fontId="2" type="noConversion"/>
  </si>
  <si>
    <t>ROAS
목표 수치
300%</t>
    <phoneticPr fontId="2" type="noConversion"/>
  </si>
  <si>
    <t>3.5명</t>
    <phoneticPr fontId="2" type="noConversion"/>
  </si>
  <si>
    <r>
      <t xml:space="preserve">인기 유튜버 채널 홍보 (콜라보 광고)
</t>
    </r>
    <r>
      <rPr>
        <b/>
        <u/>
        <sz val="11"/>
        <color rgb="FF0070C0"/>
        <rFont val="맑은 고딕"/>
        <family val="3"/>
        <charset val="129"/>
        <scheme val="minor"/>
      </rPr>
      <t>*IPTV 미디어 광고로 대체 가능</t>
    </r>
    <phoneticPr fontId="2" type="noConversion"/>
  </si>
  <si>
    <t>플랫폼 앱 기획/개발</t>
    <phoneticPr fontId="2" type="noConversion"/>
  </si>
  <si>
    <t>컨설팅</t>
    <phoneticPr fontId="2" type="noConversion"/>
  </si>
  <si>
    <t>상시 업데이트, 유지관리</t>
    <phoneticPr fontId="2" type="noConversion"/>
  </si>
  <si>
    <t>정부지원사업, 인건비 지원사업 등</t>
    <phoneticPr fontId="2" type="noConversion"/>
  </si>
  <si>
    <t>연간 운용목표</t>
    <phoneticPr fontId="2" type="noConversion"/>
  </si>
  <si>
    <t>5명</t>
    <phoneticPr fontId="2" type="noConversion"/>
  </si>
  <si>
    <t>내부 인력, 사업구조 파악후 컨설팅 진행 필요</t>
    <phoneticPr fontId="2" type="noConversion"/>
  </si>
  <si>
    <t>정부지원금 획득</t>
    <phoneticPr fontId="2" type="noConversion"/>
  </si>
  <si>
    <t>약 2억 이상</t>
    <phoneticPr fontId="2" type="noConversion"/>
  </si>
  <si>
    <t>앱 다운로드수 
5만 돌파</t>
    <phoneticPr fontId="2" type="noConversion"/>
  </si>
  <si>
    <t>플랫폼 사업 추진,
인바운드 영업 활성화</t>
    <phoneticPr fontId="2" type="noConversion"/>
  </si>
  <si>
    <t>ROAS
목표 수치
230%</t>
    <phoneticPr fontId="2" type="noConversion"/>
  </si>
  <si>
    <t>ROAS
목표 수치
280%</t>
    <phoneticPr fontId="2" type="noConversion"/>
  </si>
  <si>
    <t>2021년 하반기 전체 예산</t>
    <phoneticPr fontId="2" type="noConversion"/>
  </si>
  <si>
    <t>총 6억 9,550만원 (앱 개발비 제외)</t>
    <phoneticPr fontId="2" type="noConversion"/>
  </si>
  <si>
    <t>인플루언서
or
미디어 홍보</t>
    <phoneticPr fontId="2" type="noConversion"/>
  </si>
  <si>
    <t>2022년 1월~9월 전체 예산</t>
    <phoneticPr fontId="2" type="noConversion"/>
  </si>
  <si>
    <t>총 14억 3,550만원</t>
    <phoneticPr fontId="2" type="noConversion"/>
  </si>
  <si>
    <r>
      <rPr>
        <b/>
        <sz val="14"/>
        <color rgb="FF0070C0"/>
        <rFont val="맑은 고딕"/>
        <family val="3"/>
        <charset val="129"/>
        <scheme val="minor"/>
      </rPr>
      <t xml:space="preserve">ROAS 목표 수치는 평균 262%로, </t>
    </r>
    <r>
      <rPr>
        <b/>
        <sz val="14"/>
        <color theme="1"/>
        <rFont val="맑은 고딕"/>
        <family val="3"/>
        <charset val="129"/>
        <scheme val="minor"/>
      </rPr>
      <t xml:space="preserve">
전체 활동에 의한 연간 매출 상승 기대 목표액은
</t>
    </r>
    <r>
      <rPr>
        <b/>
        <sz val="14"/>
        <color rgb="FF7030A0"/>
        <rFont val="맑은 고딕"/>
        <family val="3"/>
        <charset val="129"/>
        <scheme val="minor"/>
      </rPr>
      <t>약 56억원</t>
    </r>
    <r>
      <rPr>
        <b/>
        <sz val="14"/>
        <color theme="1"/>
        <rFont val="맑은 고딕"/>
        <family val="3"/>
        <charset val="129"/>
        <scheme val="minor"/>
      </rPr>
      <t xml:space="preserve">정도로 설정해볼 수 있겠음.
</t>
    </r>
    <r>
      <rPr>
        <b/>
        <sz val="12"/>
        <color theme="1"/>
        <rFont val="맑은 고딕"/>
        <family val="3"/>
        <charset val="129"/>
        <scheme val="minor"/>
      </rPr>
      <t>*앱 다운로드 목표 : 최소 5만명, 인당 가치는 약 112,000원</t>
    </r>
    <phoneticPr fontId="2" type="noConversion"/>
  </si>
  <si>
    <r>
      <t xml:space="preserve">콘텐츠 제작비 + 광고실비 + 운용비 
&gt;&gt; </t>
    </r>
    <r>
      <rPr>
        <b/>
        <sz val="14"/>
        <color rgb="FFFF0000"/>
        <rFont val="맑은 고딕"/>
        <family val="3"/>
        <charset val="129"/>
        <scheme val="minor"/>
      </rPr>
      <t>전체비용 : 13개월간 총 21억 3,100만원</t>
    </r>
    <phoneticPr fontId="2" type="noConversion"/>
  </si>
  <si>
    <t>ROAS (마케팅 비용대비 매출 목표액) 는,
콘텐츠 기획 및 제작 비용과 운영비까지 포함.
연간 평균 기준으로 설정 하였음.</t>
    <phoneticPr fontId="2" type="noConversion"/>
  </si>
  <si>
    <t>플랫폼형
앱 제작</t>
    <phoneticPr fontId="2" type="noConversion"/>
  </si>
  <si>
    <t>ROAS
목표 수치
220%</t>
    <phoneticPr fontId="2" type="noConversion"/>
  </si>
  <si>
    <t>마케팅 연간실행플랜  "콘텐츠 최적화형" (네이버 제외)</t>
    <phoneticPr fontId="2" type="noConversion"/>
  </si>
  <si>
    <t>프로모션 홍보용
(중.대형 상가/00)</t>
  </si>
  <si>
    <t>00 소식, 임대 정보
(월 20건 유지)</t>
  </si>
  <si>
    <t>브랜드 소식,
00 프로모션 및
매물정보 등
(월 20건 업로드)
 +인스타 리그램</t>
  </si>
  <si>
    <t>리타겟팅 광고
(재 유입 유도)
관련 키워드 검색 시
[00라인] 광고 노출</t>
  </si>
  <si>
    <r>
      <t xml:space="preserve">개발 기능/투입인력에 맞춰 별도 견적 제공 예정
</t>
    </r>
    <r>
      <rPr>
        <sz val="11"/>
        <color rgb="FFFF0000"/>
        <rFont val="맑은 고딕"/>
        <family val="3"/>
        <charset val="129"/>
        <scheme val="minor"/>
      </rPr>
      <t>*[00]와 유사한 스펙으로 개발/업데이트 진행 시, 
투입인력 5명, 연간 약 2.5억 내외 예상)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</si>
</sst>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u/>
      <sz val="11"/>
      <color rgb="FFFF000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7030A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u/>
      <sz val="11"/>
      <color rgb="FF0070C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BDFE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9A69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55D90"/>
        <bgColor indexed="64"/>
      </patternFill>
    </fill>
    <fill>
      <patternFill patternType="solid">
        <fgColor theme="4" tint="0.39997558519241921"/>
        <bgColor indexed="64"/>
      </patternFill>
    </fill>
  </fills>
  <borders count="1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/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 style="medium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 style="thin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thin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2499465926084170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2499465926084170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 tint="0.24994659260841701"/>
      </right>
      <top/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1" tint="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2499465926084170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1" tint="0.24994659260841701"/>
      </top>
      <bottom style="thin">
        <color indexed="64"/>
      </bottom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 tint="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theme="1" tint="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 tint="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indexed="64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indexed="64"/>
      </right>
      <top/>
      <bottom style="medium">
        <color indexed="64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 style="medium">
        <color indexed="64"/>
      </left>
      <right/>
      <top/>
      <bottom style="thin">
        <color theme="1" tint="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theme="1" tint="0.24994659260841701"/>
      </bottom>
      <diagonal/>
    </border>
    <border>
      <left style="thin">
        <color indexed="64"/>
      </left>
      <right/>
      <top/>
      <bottom style="thin">
        <color theme="1" tint="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1" tint="0.24994659260841701"/>
      </bottom>
      <diagonal/>
    </border>
    <border>
      <left style="thin">
        <color indexed="64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 tint="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 tint="0.2499465926084170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/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medium">
        <color indexed="64"/>
      </top>
      <bottom/>
      <diagonal/>
    </border>
    <border>
      <left/>
      <right style="thin">
        <color theme="1" tint="0.24994659260841701"/>
      </right>
      <top/>
      <bottom style="thin">
        <color indexed="64"/>
      </bottom>
      <diagonal/>
    </border>
    <border>
      <left/>
      <right style="thin">
        <color theme="1" tint="0.24994659260841701"/>
      </right>
      <top style="thin">
        <color indexed="64"/>
      </top>
      <bottom/>
      <diagonal/>
    </border>
    <border>
      <left/>
      <right style="thin">
        <color theme="1" tint="0.24994659260841701"/>
      </right>
      <top/>
      <bottom/>
      <diagonal/>
    </border>
    <border>
      <left/>
      <right style="thin">
        <color theme="1" tint="0.24994659260841701"/>
      </right>
      <top style="medium">
        <color indexed="64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7">
    <xf numFmtId="0" fontId="0" fillId="0" borderId="0" xfId="0">
      <alignment vertical="center"/>
    </xf>
    <xf numFmtId="0" fontId="5" fillId="5" borderId="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2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/>
    </xf>
    <xf numFmtId="41" fontId="9" fillId="5" borderId="0" xfId="1" applyFont="1" applyFill="1" applyBorder="1" applyAlignment="1">
      <alignment horizontal="center" vertical="center"/>
    </xf>
    <xf numFmtId="41" fontId="15" fillId="3" borderId="50" xfId="1" applyFont="1" applyFill="1" applyBorder="1" applyAlignment="1">
      <alignment vertical="center"/>
    </xf>
    <xf numFmtId="41" fontId="13" fillId="5" borderId="0" xfId="1" applyFont="1" applyFill="1" applyBorder="1" applyAlignment="1">
      <alignment horizontal="center" vertical="center"/>
    </xf>
    <xf numFmtId="41" fontId="4" fillId="5" borderId="0" xfId="1" applyFont="1" applyFill="1" applyBorder="1" applyAlignment="1">
      <alignment vertical="center"/>
    </xf>
    <xf numFmtId="41" fontId="13" fillId="0" borderId="20" xfId="1" applyFont="1" applyBorder="1" applyAlignment="1">
      <alignment horizontal="center" vertical="center"/>
    </xf>
    <xf numFmtId="41" fontId="5" fillId="2" borderId="6" xfId="1" applyFont="1" applyFill="1" applyBorder="1">
      <alignment vertical="center"/>
    </xf>
    <xf numFmtId="41" fontId="17" fillId="6" borderId="18" xfId="1" applyFont="1" applyFill="1" applyBorder="1" applyAlignment="1">
      <alignment vertical="center"/>
    </xf>
    <xf numFmtId="41" fontId="15" fillId="3" borderId="17" xfId="1" applyFont="1" applyFill="1" applyBorder="1">
      <alignment vertical="center"/>
    </xf>
    <xf numFmtId="0" fontId="19" fillId="5" borderId="0" xfId="0" applyFont="1" applyFill="1" applyBorder="1" applyAlignment="1">
      <alignment horizontal="center" vertical="center"/>
    </xf>
    <xf numFmtId="41" fontId="19" fillId="5" borderId="0" xfId="1" applyFont="1" applyFill="1" applyBorder="1">
      <alignment vertical="center"/>
    </xf>
    <xf numFmtId="41" fontId="14" fillId="5" borderId="0" xfId="1" applyFont="1" applyFill="1" applyBorder="1">
      <alignment vertical="center"/>
    </xf>
    <xf numFmtId="41" fontId="4" fillId="6" borderId="1" xfId="1" applyFont="1" applyFill="1" applyBorder="1">
      <alignment vertical="center"/>
    </xf>
    <xf numFmtId="0" fontId="9" fillId="0" borderId="0" xfId="0" applyFont="1" applyBorder="1" applyAlignment="1">
      <alignment horizontal="right" vertical="center"/>
    </xf>
    <xf numFmtId="41" fontId="15" fillId="3" borderId="44" xfId="1" applyFont="1" applyFill="1" applyBorder="1">
      <alignment vertical="center"/>
    </xf>
    <xf numFmtId="41" fontId="13" fillId="0" borderId="54" xfId="1" applyFont="1" applyBorder="1" applyAlignment="1">
      <alignment vertical="center"/>
    </xf>
    <xf numFmtId="41" fontId="13" fillId="0" borderId="12" xfId="1" applyFont="1" applyBorder="1" applyAlignment="1">
      <alignment horizontal="center" vertical="center"/>
    </xf>
    <xf numFmtId="41" fontId="20" fillId="0" borderId="59" xfId="1" applyFont="1" applyBorder="1">
      <alignment vertical="center"/>
    </xf>
    <xf numFmtId="41" fontId="4" fillId="6" borderId="31" xfId="1" applyFont="1" applyFill="1" applyBorder="1">
      <alignment vertical="center"/>
    </xf>
    <xf numFmtId="41" fontId="4" fillId="6" borderId="48" xfId="1" applyFont="1" applyFill="1" applyBorder="1">
      <alignment vertical="center"/>
    </xf>
    <xf numFmtId="41" fontId="13" fillId="5" borderId="52" xfId="1" applyFont="1" applyFill="1" applyBorder="1" applyAlignment="1">
      <alignment horizontal="center" vertical="center"/>
    </xf>
    <xf numFmtId="41" fontId="4" fillId="6" borderId="31" xfId="1" applyFont="1" applyFill="1" applyBorder="1" applyAlignment="1">
      <alignment vertical="center"/>
    </xf>
    <xf numFmtId="0" fontId="9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41" fontId="17" fillId="6" borderId="15" xfId="1" applyFont="1" applyFill="1" applyBorder="1" applyAlignment="1">
      <alignment vertical="center"/>
    </xf>
    <xf numFmtId="41" fontId="17" fillId="6" borderId="17" xfId="1" applyFont="1" applyFill="1" applyBorder="1" applyAlignment="1">
      <alignment vertical="center"/>
    </xf>
    <xf numFmtId="0" fontId="5" fillId="0" borderId="0" xfId="0" applyFont="1">
      <alignment vertical="center"/>
    </xf>
    <xf numFmtId="0" fontId="9" fillId="12" borderId="34" xfId="0" applyFont="1" applyFill="1" applyBorder="1" applyAlignment="1">
      <alignment horizontal="center" vertical="center"/>
    </xf>
    <xf numFmtId="41" fontId="5" fillId="12" borderId="56" xfId="1" applyFont="1" applyFill="1" applyBorder="1">
      <alignment vertical="center"/>
    </xf>
    <xf numFmtId="41" fontId="5" fillId="12" borderId="30" xfId="1" applyFont="1" applyFill="1" applyBorder="1">
      <alignment vertical="center"/>
    </xf>
    <xf numFmtId="41" fontId="20" fillId="0" borderId="32" xfId="1" applyFont="1" applyBorder="1">
      <alignment vertical="center"/>
    </xf>
    <xf numFmtId="0" fontId="13" fillId="2" borderId="66" xfId="0" applyFont="1" applyFill="1" applyBorder="1" applyAlignment="1">
      <alignment horizontal="center" vertical="center" wrapText="1"/>
    </xf>
    <xf numFmtId="41" fontId="13" fillId="0" borderId="77" xfId="1" applyFont="1" applyBorder="1">
      <alignment vertical="center"/>
    </xf>
    <xf numFmtId="0" fontId="7" fillId="15" borderId="9" xfId="0" applyFont="1" applyFill="1" applyBorder="1" applyAlignment="1">
      <alignment horizontal="center" vertical="center"/>
    </xf>
    <xf numFmtId="41" fontId="13" fillId="0" borderId="1" xfId="1" applyFont="1" applyBorder="1" applyAlignment="1">
      <alignment vertical="center"/>
    </xf>
    <xf numFmtId="41" fontId="13" fillId="0" borderId="48" xfId="1" applyFont="1" applyBorder="1">
      <alignment vertical="center"/>
    </xf>
    <xf numFmtId="41" fontId="13" fillId="0" borderId="48" xfId="1" applyFont="1" applyBorder="1" applyAlignment="1">
      <alignment vertical="center"/>
    </xf>
    <xf numFmtId="0" fontId="10" fillId="2" borderId="68" xfId="0" applyFont="1" applyFill="1" applyBorder="1" applyAlignment="1">
      <alignment horizontal="center" vertical="center"/>
    </xf>
    <xf numFmtId="0" fontId="10" fillId="2" borderId="75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41" fontId="14" fillId="0" borderId="22" xfId="1" applyFont="1" applyBorder="1">
      <alignment vertical="center"/>
    </xf>
    <xf numFmtId="41" fontId="5" fillId="0" borderId="22" xfId="1" applyFont="1" applyBorder="1">
      <alignment vertical="center"/>
    </xf>
    <xf numFmtId="41" fontId="20" fillId="0" borderId="36" xfId="1" applyFont="1" applyBorder="1" applyAlignment="1">
      <alignment horizontal="center" vertical="center"/>
    </xf>
    <xf numFmtId="41" fontId="5" fillId="2" borderId="80" xfId="1" applyFont="1" applyFill="1" applyBorder="1">
      <alignment vertical="center"/>
    </xf>
    <xf numFmtId="41" fontId="4" fillId="6" borderId="2" xfId="1" applyFont="1" applyFill="1" applyBorder="1">
      <alignment vertical="center"/>
    </xf>
    <xf numFmtId="41" fontId="13" fillId="0" borderId="57" xfId="1" applyFont="1" applyBorder="1" applyAlignment="1">
      <alignment horizontal="center" vertical="center" wrapText="1"/>
    </xf>
    <xf numFmtId="41" fontId="21" fillId="0" borderId="46" xfId="1" applyFont="1" applyBorder="1">
      <alignment vertical="center"/>
    </xf>
    <xf numFmtId="41" fontId="5" fillId="0" borderId="30" xfId="1" applyFont="1" applyBorder="1">
      <alignment vertical="center"/>
    </xf>
    <xf numFmtId="41" fontId="5" fillId="0" borderId="43" xfId="1" applyFont="1" applyBorder="1">
      <alignment vertical="center"/>
    </xf>
    <xf numFmtId="41" fontId="4" fillId="12" borderId="60" xfId="1" applyFont="1" applyFill="1" applyBorder="1">
      <alignment vertical="center"/>
    </xf>
    <xf numFmtId="41" fontId="21" fillId="5" borderId="89" xfId="1" applyFont="1" applyFill="1" applyBorder="1" applyAlignment="1">
      <alignment horizontal="center" vertical="center"/>
    </xf>
    <xf numFmtId="41" fontId="5" fillId="0" borderId="88" xfId="1" applyFont="1" applyBorder="1">
      <alignment vertical="center"/>
    </xf>
    <xf numFmtId="41" fontId="21" fillId="0" borderId="70" xfId="1" applyFont="1" applyBorder="1">
      <alignment vertical="center"/>
    </xf>
    <xf numFmtId="41" fontId="13" fillId="0" borderId="56" xfId="1" applyFont="1" applyBorder="1" applyAlignment="1">
      <alignment vertical="center"/>
    </xf>
    <xf numFmtId="41" fontId="13" fillId="0" borderId="57" xfId="1" applyFont="1" applyBorder="1" applyAlignment="1">
      <alignment horizontal="center" vertical="center"/>
    </xf>
    <xf numFmtId="0" fontId="4" fillId="14" borderId="59" xfId="0" applyFont="1" applyFill="1" applyBorder="1" applyAlignment="1">
      <alignment horizontal="center" vertical="center" wrapText="1"/>
    </xf>
    <xf numFmtId="41" fontId="4" fillId="19" borderId="61" xfId="1" applyFont="1" applyFill="1" applyBorder="1">
      <alignment vertical="center"/>
    </xf>
    <xf numFmtId="0" fontId="23" fillId="19" borderId="66" xfId="0" applyFont="1" applyFill="1" applyBorder="1" applyAlignment="1">
      <alignment horizontal="center" vertical="center" wrapText="1"/>
    </xf>
    <xf numFmtId="0" fontId="25" fillId="12" borderId="53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41" fontId="13" fillId="0" borderId="49" xfId="1" applyFont="1" applyBorder="1" applyAlignment="1">
      <alignment vertical="center"/>
    </xf>
    <xf numFmtId="0" fontId="10" fillId="2" borderId="84" xfId="0" applyFont="1" applyFill="1" applyBorder="1" applyAlignment="1">
      <alignment horizontal="center" vertical="center"/>
    </xf>
    <xf numFmtId="41" fontId="10" fillId="0" borderId="54" xfId="1" applyFont="1" applyBorder="1" applyAlignment="1">
      <alignment vertical="center"/>
    </xf>
    <xf numFmtId="0" fontId="4" fillId="14" borderId="90" xfId="0" applyFont="1" applyFill="1" applyBorder="1" applyAlignment="1">
      <alignment horizontal="center" vertical="center" wrapText="1"/>
    </xf>
    <xf numFmtId="41" fontId="13" fillId="0" borderId="81" xfId="1" applyFont="1" applyBorder="1" applyAlignment="1">
      <alignment horizontal="center" vertical="center" wrapText="1"/>
    </xf>
    <xf numFmtId="0" fontId="4" fillId="14" borderId="96" xfId="0" applyFont="1" applyFill="1" applyBorder="1" applyAlignment="1">
      <alignment horizontal="center" vertical="center" wrapText="1"/>
    </xf>
    <xf numFmtId="41" fontId="13" fillId="0" borderId="62" xfId="1" applyFont="1" applyBorder="1">
      <alignment vertical="center"/>
    </xf>
    <xf numFmtId="41" fontId="17" fillId="6" borderId="78" xfId="1" applyFont="1" applyFill="1" applyBorder="1" applyAlignment="1">
      <alignment vertical="center"/>
    </xf>
    <xf numFmtId="41" fontId="13" fillId="0" borderId="60" xfId="1" applyFont="1" applyBorder="1">
      <alignment vertical="center"/>
    </xf>
    <xf numFmtId="41" fontId="17" fillId="6" borderId="44" xfId="1" applyFont="1" applyFill="1" applyBorder="1" applyAlignment="1">
      <alignment vertical="center"/>
    </xf>
    <xf numFmtId="41" fontId="21" fillId="0" borderId="49" xfId="1" applyFont="1" applyBorder="1">
      <alignment vertical="center"/>
    </xf>
    <xf numFmtId="41" fontId="4" fillId="6" borderId="78" xfId="1" applyFont="1" applyFill="1" applyBorder="1">
      <alignment vertical="center"/>
    </xf>
    <xf numFmtId="41" fontId="20" fillId="0" borderId="62" xfId="1" applyFont="1" applyBorder="1" applyAlignment="1">
      <alignment horizontal="center" vertical="center"/>
    </xf>
    <xf numFmtId="41" fontId="21" fillId="0" borderId="56" xfId="1" applyFont="1" applyBorder="1">
      <alignment vertical="center"/>
    </xf>
    <xf numFmtId="41" fontId="20" fillId="0" borderId="60" xfId="1" applyFont="1" applyBorder="1" applyAlignment="1">
      <alignment horizontal="center" vertical="center"/>
    </xf>
    <xf numFmtId="41" fontId="4" fillId="6" borderId="44" xfId="1" applyFont="1" applyFill="1" applyBorder="1">
      <alignment vertical="center"/>
    </xf>
    <xf numFmtId="41" fontId="5" fillId="0" borderId="56" xfId="1" applyFont="1" applyBorder="1">
      <alignment vertical="center"/>
    </xf>
    <xf numFmtId="41" fontId="13" fillId="0" borderId="31" xfId="1" applyFont="1" applyBorder="1">
      <alignment vertical="center"/>
    </xf>
    <xf numFmtId="41" fontId="17" fillId="6" borderId="1" xfId="1" applyFont="1" applyFill="1" applyBorder="1" applyAlignment="1">
      <alignment vertical="center"/>
    </xf>
    <xf numFmtId="41" fontId="4" fillId="0" borderId="24" xfId="1" applyFont="1" applyBorder="1" applyAlignment="1">
      <alignment horizontal="center" vertical="center" wrapText="1"/>
    </xf>
    <xf numFmtId="41" fontId="4" fillId="0" borderId="22" xfId="1" applyFont="1" applyBorder="1" applyAlignment="1">
      <alignment horizontal="center" vertical="center"/>
    </xf>
    <xf numFmtId="41" fontId="21" fillId="10" borderId="89" xfId="1" applyFont="1" applyFill="1" applyBorder="1" applyAlignment="1">
      <alignment horizontal="center" vertical="center"/>
    </xf>
    <xf numFmtId="41" fontId="21" fillId="0" borderId="54" xfId="1" applyFont="1" applyBorder="1">
      <alignment vertical="center"/>
    </xf>
    <xf numFmtId="41" fontId="5" fillId="0" borderId="29" xfId="1" applyFont="1" applyBorder="1">
      <alignment vertical="center"/>
    </xf>
    <xf numFmtId="41" fontId="20" fillId="0" borderId="42" xfId="1" applyFont="1" applyBorder="1">
      <alignment vertical="center"/>
    </xf>
    <xf numFmtId="41" fontId="20" fillId="0" borderId="60" xfId="1" applyFont="1" applyBorder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41" fontId="5" fillId="0" borderId="54" xfId="1" applyFont="1" applyBorder="1" applyAlignment="1">
      <alignment vertical="center"/>
    </xf>
    <xf numFmtId="41" fontId="5" fillId="0" borderId="46" xfId="1" applyFont="1" applyBorder="1" applyAlignment="1">
      <alignment vertical="center"/>
    </xf>
    <xf numFmtId="41" fontId="5" fillId="0" borderId="40" xfId="1" applyFont="1" applyBorder="1" applyAlignment="1">
      <alignment vertical="center"/>
    </xf>
    <xf numFmtId="0" fontId="14" fillId="4" borderId="107" xfId="0" applyFont="1" applyFill="1" applyBorder="1" applyAlignment="1">
      <alignment horizontal="center" vertical="center" wrapText="1"/>
    </xf>
    <xf numFmtId="41" fontId="5" fillId="4" borderId="21" xfId="1" applyFont="1" applyFill="1" applyBorder="1">
      <alignment vertical="center"/>
    </xf>
    <xf numFmtId="0" fontId="13" fillId="4" borderId="10" xfId="0" applyFont="1" applyFill="1" applyBorder="1" applyAlignment="1">
      <alignment horizontal="center" vertical="center" wrapText="1"/>
    </xf>
    <xf numFmtId="41" fontId="13" fillId="0" borderId="106" xfId="1" applyFont="1" applyBorder="1">
      <alignment vertical="center"/>
    </xf>
    <xf numFmtId="41" fontId="13" fillId="0" borderId="55" xfId="1" applyFont="1" applyBorder="1" applyAlignment="1">
      <alignment vertical="center"/>
    </xf>
    <xf numFmtId="41" fontId="13" fillId="0" borderId="47" xfId="1" applyFont="1" applyBorder="1" applyAlignment="1">
      <alignment vertical="center"/>
    </xf>
    <xf numFmtId="41" fontId="13" fillId="0" borderId="55" xfId="1" applyFont="1" applyBorder="1">
      <alignment vertical="center"/>
    </xf>
    <xf numFmtId="41" fontId="13" fillId="0" borderId="47" xfId="1" applyFont="1" applyBorder="1">
      <alignment vertical="center"/>
    </xf>
    <xf numFmtId="41" fontId="4" fillId="4" borderId="33" xfId="1" applyFont="1" applyFill="1" applyBorder="1">
      <alignment vertical="center"/>
    </xf>
    <xf numFmtId="41" fontId="5" fillId="2" borderId="100" xfId="1" applyFont="1" applyFill="1" applyBorder="1">
      <alignment vertical="center"/>
    </xf>
    <xf numFmtId="41" fontId="4" fillId="2" borderId="11" xfId="1" applyFont="1" applyFill="1" applyBorder="1">
      <alignment vertical="center"/>
    </xf>
    <xf numFmtId="41" fontId="5" fillId="2" borderId="102" xfId="1" applyFont="1" applyFill="1" applyBorder="1">
      <alignment vertical="center"/>
    </xf>
    <xf numFmtId="41" fontId="5" fillId="0" borderId="87" xfId="1" applyFont="1" applyBorder="1" applyAlignment="1">
      <alignment horizontal="center" vertical="center"/>
    </xf>
    <xf numFmtId="41" fontId="5" fillId="0" borderId="79" xfId="1" applyFont="1" applyBorder="1" applyAlignment="1">
      <alignment horizontal="center" vertical="center"/>
    </xf>
    <xf numFmtId="41" fontId="5" fillId="0" borderId="98" xfId="1" applyFont="1" applyBorder="1" applyAlignment="1">
      <alignment horizontal="center" vertical="center"/>
    </xf>
    <xf numFmtId="41" fontId="4" fillId="0" borderId="90" xfId="1" applyFont="1" applyBorder="1" applyAlignment="1">
      <alignment horizontal="center" vertical="center" wrapText="1"/>
    </xf>
    <xf numFmtId="0" fontId="4" fillId="17" borderId="80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41" fontId="5" fillId="5" borderId="0" xfId="1" applyFont="1" applyFill="1" applyBorder="1" applyAlignment="1">
      <alignment horizontal="center" vertical="center"/>
    </xf>
    <xf numFmtId="41" fontId="4" fillId="5" borderId="0" xfId="1" applyFont="1" applyFill="1" applyBorder="1" applyAlignment="1">
      <alignment horizontal="center" vertical="center"/>
    </xf>
    <xf numFmtId="41" fontId="13" fillId="0" borderId="24" xfId="1" applyFont="1" applyBorder="1" applyAlignment="1">
      <alignment horizontal="center" vertical="center" wrapText="1"/>
    </xf>
    <xf numFmtId="0" fontId="5" fillId="17" borderId="100" xfId="0" applyFont="1" applyFill="1" applyBorder="1" applyAlignment="1">
      <alignment horizontal="center" vertical="center" wrapText="1"/>
    </xf>
    <xf numFmtId="0" fontId="5" fillId="17" borderId="73" xfId="0" applyFont="1" applyFill="1" applyBorder="1" applyAlignment="1">
      <alignment horizontal="center" vertical="center"/>
    </xf>
    <xf numFmtId="0" fontId="5" fillId="17" borderId="93" xfId="0" applyFont="1" applyFill="1" applyBorder="1" applyAlignment="1">
      <alignment horizontal="center" vertical="center"/>
    </xf>
    <xf numFmtId="41" fontId="5" fillId="17" borderId="86" xfId="1" applyFont="1" applyFill="1" applyBorder="1" applyAlignment="1">
      <alignment horizontal="center" vertical="center"/>
    </xf>
    <xf numFmtId="41" fontId="16" fillId="0" borderId="101" xfId="1" applyFont="1" applyBorder="1" applyAlignment="1">
      <alignment vertical="center"/>
    </xf>
    <xf numFmtId="41" fontId="21" fillId="0" borderId="54" xfId="1" applyFont="1" applyBorder="1" applyAlignment="1">
      <alignment vertical="center"/>
    </xf>
    <xf numFmtId="41" fontId="21" fillId="0" borderId="56" xfId="1" applyFont="1" applyBorder="1" applyAlignment="1">
      <alignment vertical="center"/>
    </xf>
    <xf numFmtId="41" fontId="21" fillId="0" borderId="29" xfId="1" applyFont="1" applyBorder="1" applyAlignment="1">
      <alignment vertical="center"/>
    </xf>
    <xf numFmtId="0" fontId="21" fillId="2" borderId="8" xfId="0" applyFont="1" applyFill="1" applyBorder="1" applyAlignment="1">
      <alignment horizontal="center" vertical="center"/>
    </xf>
    <xf numFmtId="41" fontId="4" fillId="0" borderId="22" xfId="1" applyFont="1" applyBorder="1" applyAlignment="1">
      <alignment horizontal="center" vertical="center" wrapText="1"/>
    </xf>
    <xf numFmtId="41" fontId="21" fillId="0" borderId="30" xfId="1" applyFont="1" applyBorder="1" applyAlignment="1">
      <alignment vertical="center"/>
    </xf>
    <xf numFmtId="41" fontId="13" fillId="0" borderId="105" xfId="1" applyFont="1" applyBorder="1" applyAlignment="1">
      <alignment horizontal="center" vertical="center"/>
    </xf>
    <xf numFmtId="41" fontId="13" fillId="0" borderId="44" xfId="1" applyFont="1" applyBorder="1" applyAlignment="1">
      <alignment horizontal="center" vertical="center"/>
    </xf>
    <xf numFmtId="41" fontId="21" fillId="0" borderId="58" xfId="1" applyFont="1" applyBorder="1">
      <alignment vertical="center"/>
    </xf>
    <xf numFmtId="41" fontId="10" fillId="17" borderId="115" xfId="1" applyFont="1" applyFill="1" applyBorder="1" applyAlignment="1">
      <alignment horizontal="center" vertical="center" wrapText="1"/>
    </xf>
    <xf numFmtId="41" fontId="13" fillId="0" borderId="9" xfId="1" applyFont="1" applyBorder="1" applyAlignment="1">
      <alignment horizontal="center" vertical="center"/>
    </xf>
    <xf numFmtId="41" fontId="17" fillId="0" borderId="92" xfId="1" applyFont="1" applyBorder="1" applyAlignment="1">
      <alignment horizontal="center" vertical="center" wrapText="1"/>
    </xf>
    <xf numFmtId="41" fontId="4" fillId="17" borderId="74" xfId="1" applyFont="1" applyFill="1" applyBorder="1" applyAlignment="1">
      <alignment horizontal="center" vertical="center" wrapText="1"/>
    </xf>
    <xf numFmtId="41" fontId="9" fillId="0" borderId="87" xfId="1" applyFont="1" applyBorder="1" applyAlignment="1">
      <alignment horizontal="center" vertical="center"/>
    </xf>
    <xf numFmtId="41" fontId="5" fillId="5" borderId="0" xfId="1" applyFont="1" applyFill="1" applyBorder="1" applyAlignment="1">
      <alignment horizontal="center" vertical="center" wrapText="1"/>
    </xf>
    <xf numFmtId="41" fontId="13" fillId="16" borderId="97" xfId="1" applyFont="1" applyFill="1" applyBorder="1" applyAlignment="1">
      <alignment horizontal="center" vertical="center" wrapText="1"/>
    </xf>
    <xf numFmtId="41" fontId="13" fillId="16" borderId="114" xfId="1" applyFont="1" applyFill="1" applyBorder="1" applyAlignment="1">
      <alignment horizontal="center" vertical="center" wrapText="1"/>
    </xf>
    <xf numFmtId="41" fontId="13" fillId="16" borderId="60" xfId="1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41" fontId="13" fillId="0" borderId="70" xfId="1" applyFont="1" applyBorder="1" applyAlignment="1">
      <alignment vertical="center"/>
    </xf>
    <xf numFmtId="0" fontId="4" fillId="2" borderId="36" xfId="0" applyFont="1" applyFill="1" applyBorder="1" applyAlignment="1">
      <alignment horizontal="center" vertical="center"/>
    </xf>
    <xf numFmtId="41" fontId="28" fillId="8" borderId="89" xfId="1" applyFont="1" applyFill="1" applyBorder="1" applyAlignment="1">
      <alignment horizontal="center" vertical="center"/>
    </xf>
    <xf numFmtId="41" fontId="5" fillId="6" borderId="89" xfId="1" applyFont="1" applyFill="1" applyBorder="1" applyAlignment="1">
      <alignment horizontal="center" vertical="center" wrapText="1"/>
    </xf>
    <xf numFmtId="41" fontId="17" fillId="6" borderId="31" xfId="1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21" fillId="2" borderId="110" xfId="0" applyFont="1" applyFill="1" applyBorder="1" applyAlignment="1">
      <alignment horizontal="center" vertical="center" wrapText="1"/>
    </xf>
    <xf numFmtId="41" fontId="8" fillId="0" borderId="98" xfId="1" applyFont="1" applyBorder="1" applyAlignment="1">
      <alignment horizontal="center" vertical="center"/>
    </xf>
    <xf numFmtId="0" fontId="6" fillId="17" borderId="75" xfId="0" applyFont="1" applyFill="1" applyBorder="1" applyAlignment="1">
      <alignment horizontal="center" vertical="center"/>
    </xf>
    <xf numFmtId="41" fontId="5" fillId="0" borderId="100" xfId="1" applyFont="1" applyBorder="1" applyAlignment="1">
      <alignment horizontal="center" vertical="center"/>
    </xf>
    <xf numFmtId="41" fontId="16" fillId="0" borderId="29" xfId="1" applyFont="1" applyBorder="1" applyAlignment="1">
      <alignment vertical="center"/>
    </xf>
    <xf numFmtId="41" fontId="16" fillId="0" borderId="22" xfId="1" applyFont="1" applyBorder="1" applyAlignment="1">
      <alignment vertical="center"/>
    </xf>
    <xf numFmtId="41" fontId="16" fillId="0" borderId="30" xfId="1" applyFont="1" applyBorder="1" applyAlignment="1">
      <alignment vertical="center"/>
    </xf>
    <xf numFmtId="41" fontId="16" fillId="0" borderId="76" xfId="1" applyFont="1" applyBorder="1" applyAlignment="1">
      <alignment vertical="center"/>
    </xf>
    <xf numFmtId="41" fontId="16" fillId="0" borderId="37" xfId="1" applyFont="1" applyBorder="1" applyAlignment="1">
      <alignment vertical="center"/>
    </xf>
    <xf numFmtId="41" fontId="9" fillId="0" borderId="42" xfId="1" applyFont="1" applyBorder="1" applyAlignment="1">
      <alignment vertical="center"/>
    </xf>
    <xf numFmtId="41" fontId="9" fillId="0" borderId="59" xfId="1" applyFont="1" applyBorder="1" applyAlignment="1">
      <alignment vertical="center"/>
    </xf>
    <xf numFmtId="41" fontId="9" fillId="0" borderId="60" xfId="1" applyFont="1" applyBorder="1">
      <alignment vertical="center"/>
    </xf>
    <xf numFmtId="41" fontId="9" fillId="0" borderId="42" xfId="1" applyFont="1" applyBorder="1">
      <alignment vertical="center"/>
    </xf>
    <xf numFmtId="41" fontId="9" fillId="0" borderId="59" xfId="1" applyFont="1" applyBorder="1">
      <alignment vertical="center"/>
    </xf>
    <xf numFmtId="41" fontId="9" fillId="0" borderId="62" xfId="1" applyFont="1" applyBorder="1">
      <alignment vertical="center"/>
    </xf>
    <xf numFmtId="41" fontId="9" fillId="0" borderId="77" xfId="1" applyFont="1" applyBorder="1">
      <alignment vertical="center"/>
    </xf>
    <xf numFmtId="41" fontId="13" fillId="0" borderId="105" xfId="1" applyFont="1" applyBorder="1">
      <alignment vertical="center"/>
    </xf>
    <xf numFmtId="41" fontId="13" fillId="0" borderId="44" xfId="1" applyFont="1" applyBorder="1">
      <alignment vertical="center"/>
    </xf>
    <xf numFmtId="41" fontId="13" fillId="0" borderId="126" xfId="1" applyFont="1" applyBorder="1" applyAlignment="1">
      <alignment horizontal="center" vertical="center"/>
    </xf>
    <xf numFmtId="41" fontId="13" fillId="0" borderId="38" xfId="1" applyFont="1" applyBorder="1" applyAlignment="1">
      <alignment horizontal="center" vertical="center"/>
    </xf>
    <xf numFmtId="41" fontId="13" fillId="0" borderId="81" xfId="1" applyFont="1" applyBorder="1" applyAlignment="1">
      <alignment horizontal="center" vertical="center"/>
    </xf>
    <xf numFmtId="0" fontId="6" fillId="17" borderId="104" xfId="0" applyFont="1" applyFill="1" applyBorder="1" applyAlignment="1">
      <alignment horizontal="center" vertical="center" wrapText="1"/>
    </xf>
    <xf numFmtId="41" fontId="21" fillId="0" borderId="29" xfId="1" applyFont="1" applyBorder="1">
      <alignment vertical="center"/>
    </xf>
    <xf numFmtId="41" fontId="20" fillId="0" borderId="106" xfId="1" applyFont="1" applyBorder="1" applyAlignment="1">
      <alignment horizontal="center" vertical="center"/>
    </xf>
    <xf numFmtId="41" fontId="5" fillId="0" borderId="128" xfId="1" applyFont="1" applyBorder="1">
      <alignment vertical="center"/>
    </xf>
    <xf numFmtId="41" fontId="20" fillId="0" borderId="77" xfId="1" applyFont="1" applyBorder="1" applyAlignment="1">
      <alignment horizontal="center" vertical="center"/>
    </xf>
    <xf numFmtId="0" fontId="4" fillId="21" borderId="40" xfId="0" applyFont="1" applyFill="1" applyBorder="1" applyAlignment="1">
      <alignment horizontal="center" vertical="center"/>
    </xf>
    <xf numFmtId="0" fontId="10" fillId="21" borderId="121" xfId="0" applyFont="1" applyFill="1" applyBorder="1" applyAlignment="1">
      <alignment horizontal="center" vertical="center"/>
    </xf>
    <xf numFmtId="0" fontId="10" fillId="21" borderId="1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41" fontId="28" fillId="5" borderId="0" xfId="1" applyFont="1" applyFill="1" applyBorder="1" applyAlignment="1">
      <alignment horizontal="center" vertical="center"/>
    </xf>
    <xf numFmtId="0" fontId="4" fillId="14" borderId="69" xfId="0" applyFont="1" applyFill="1" applyBorder="1" applyAlignment="1">
      <alignment horizontal="center" vertical="center" wrapText="1"/>
    </xf>
    <xf numFmtId="41" fontId="5" fillId="5" borderId="54" xfId="1" applyFont="1" applyFill="1" applyBorder="1" applyAlignment="1">
      <alignment horizontal="center" vertical="center"/>
    </xf>
    <xf numFmtId="41" fontId="5" fillId="5" borderId="46" xfId="1" applyFont="1" applyFill="1" applyBorder="1" applyAlignment="1">
      <alignment horizontal="center" vertical="center"/>
    </xf>
    <xf numFmtId="41" fontId="5" fillId="5" borderId="70" xfId="1" applyFont="1" applyFill="1" applyBorder="1" applyAlignment="1">
      <alignment horizontal="center" vertical="center"/>
    </xf>
    <xf numFmtId="41" fontId="13" fillId="0" borderId="36" xfId="1" applyFont="1" applyBorder="1" applyAlignment="1">
      <alignment horizontal="center" vertical="center" wrapText="1"/>
    </xf>
    <xf numFmtId="0" fontId="4" fillId="14" borderId="105" xfId="0" applyFont="1" applyFill="1" applyBorder="1" applyAlignment="1">
      <alignment horizontal="center" vertical="center" wrapText="1"/>
    </xf>
    <xf numFmtId="41" fontId="13" fillId="0" borderId="46" xfId="1" applyFont="1" applyBorder="1" applyAlignment="1">
      <alignment horizontal="center" vertical="center" wrapText="1"/>
    </xf>
    <xf numFmtId="41" fontId="4" fillId="5" borderId="77" xfId="1" applyFont="1" applyFill="1" applyBorder="1" applyAlignment="1">
      <alignment horizontal="center" vertical="center"/>
    </xf>
    <xf numFmtId="41" fontId="4" fillId="5" borderId="36" xfId="1" applyFont="1" applyFill="1" applyBorder="1" applyAlignment="1">
      <alignment horizontal="center" vertical="center"/>
    </xf>
    <xf numFmtId="41" fontId="4" fillId="5" borderId="105" xfId="1" applyFont="1" applyFill="1" applyBorder="1" applyAlignment="1">
      <alignment horizontal="center" vertical="center"/>
    </xf>
    <xf numFmtId="41" fontId="4" fillId="5" borderId="55" xfId="1" applyFont="1" applyFill="1" applyBorder="1" applyAlignment="1">
      <alignment horizontal="center" vertical="center"/>
    </xf>
    <xf numFmtId="41" fontId="4" fillId="5" borderId="106" xfId="1" applyFont="1" applyFill="1" applyBorder="1" applyAlignment="1">
      <alignment horizontal="center" vertical="center"/>
    </xf>
    <xf numFmtId="41" fontId="13" fillId="5" borderId="37" xfId="1" applyFont="1" applyFill="1" applyBorder="1" applyAlignment="1">
      <alignment horizontal="center" vertical="center"/>
    </xf>
    <xf numFmtId="41" fontId="8" fillId="0" borderId="79" xfId="1" applyFont="1" applyBorder="1" applyAlignment="1">
      <alignment horizontal="center" vertical="center"/>
    </xf>
    <xf numFmtId="41" fontId="13" fillId="0" borderId="127" xfId="1" applyFont="1" applyBorder="1" applyAlignment="1">
      <alignment horizontal="center" vertical="center"/>
    </xf>
    <xf numFmtId="41" fontId="4" fillId="17" borderId="86" xfId="1" applyFont="1" applyFill="1" applyBorder="1" applyAlignment="1">
      <alignment horizontal="center" vertical="center"/>
    </xf>
    <xf numFmtId="41" fontId="8" fillId="0" borderId="100" xfId="1" applyFont="1" applyBorder="1" applyAlignment="1">
      <alignment horizontal="center" vertical="center"/>
    </xf>
    <xf numFmtId="41" fontId="8" fillId="0" borderId="87" xfId="1" applyFont="1" applyBorder="1" applyAlignment="1">
      <alignment horizontal="center" vertical="center"/>
    </xf>
    <xf numFmtId="41" fontId="13" fillId="0" borderId="124" xfId="1" applyFont="1" applyBorder="1" applyAlignment="1">
      <alignment horizontal="center" vertical="center"/>
    </xf>
    <xf numFmtId="41" fontId="18" fillId="0" borderId="58" xfId="1" applyFont="1" applyBorder="1" applyAlignment="1">
      <alignment vertical="center"/>
    </xf>
    <xf numFmtId="41" fontId="18" fillId="0" borderId="51" xfId="1" applyFont="1" applyBorder="1" applyAlignment="1">
      <alignment vertical="center"/>
    </xf>
    <xf numFmtId="41" fontId="18" fillId="0" borderId="37" xfId="1" applyFont="1" applyBorder="1" applyAlignment="1">
      <alignment vertical="center"/>
    </xf>
    <xf numFmtId="41" fontId="18" fillId="0" borderId="76" xfId="1" applyFont="1" applyBorder="1" applyAlignment="1">
      <alignment vertical="center"/>
    </xf>
    <xf numFmtId="41" fontId="18" fillId="0" borderId="95" xfId="1" applyFont="1" applyBorder="1" applyAlignment="1">
      <alignment vertical="center"/>
    </xf>
    <xf numFmtId="41" fontId="18" fillId="0" borderId="55" xfId="1" applyFont="1" applyBorder="1" applyAlignment="1">
      <alignment vertical="center"/>
    </xf>
    <xf numFmtId="41" fontId="18" fillId="0" borderId="47" xfId="1" applyFont="1" applyBorder="1" applyAlignment="1">
      <alignment vertical="center"/>
    </xf>
    <xf numFmtId="41" fontId="18" fillId="0" borderId="36" xfId="1" applyFont="1" applyBorder="1" applyAlignment="1">
      <alignment vertical="center"/>
    </xf>
    <xf numFmtId="41" fontId="18" fillId="0" borderId="77" xfId="1" applyFont="1" applyBorder="1" applyAlignment="1">
      <alignment vertical="center"/>
    </xf>
    <xf numFmtId="41" fontId="18" fillId="0" borderId="62" xfId="1" applyFont="1" applyBorder="1" applyAlignment="1">
      <alignment vertical="center"/>
    </xf>
    <xf numFmtId="41" fontId="18" fillId="0" borderId="60" xfId="1" applyFont="1" applyBorder="1" applyAlignment="1">
      <alignment vertical="center"/>
    </xf>
    <xf numFmtId="41" fontId="4" fillId="5" borderId="50" xfId="1" applyFont="1" applyFill="1" applyBorder="1" applyAlignment="1">
      <alignment horizontal="center" vertical="center"/>
    </xf>
    <xf numFmtId="41" fontId="21" fillId="5" borderId="56" xfId="1" applyFont="1" applyFill="1" applyBorder="1" applyAlignment="1">
      <alignment horizontal="center" vertical="center"/>
    </xf>
    <xf numFmtId="41" fontId="21" fillId="5" borderId="54" xfId="1" applyFont="1" applyFill="1" applyBorder="1" applyAlignment="1">
      <alignment horizontal="center" vertical="center"/>
    </xf>
    <xf numFmtId="41" fontId="32" fillId="0" borderId="29" xfId="1" applyFont="1" applyBorder="1" applyAlignment="1">
      <alignment vertical="center"/>
    </xf>
    <xf numFmtId="41" fontId="21" fillId="0" borderId="101" xfId="1" applyFont="1" applyBorder="1" applyAlignment="1">
      <alignment vertical="center"/>
    </xf>
    <xf numFmtId="41" fontId="16" fillId="0" borderId="70" xfId="1" applyFont="1" applyBorder="1" applyAlignment="1">
      <alignment vertical="center"/>
    </xf>
    <xf numFmtId="41" fontId="16" fillId="0" borderId="49" xfId="1" applyFont="1" applyBorder="1" applyAlignment="1">
      <alignment vertical="center"/>
    </xf>
    <xf numFmtId="41" fontId="16" fillId="0" borderId="56" xfId="1" applyFont="1" applyBorder="1" applyAlignment="1">
      <alignment vertical="center"/>
    </xf>
    <xf numFmtId="41" fontId="16" fillId="0" borderId="117" xfId="1" applyFont="1" applyBorder="1" applyAlignment="1">
      <alignment horizontal="center" vertical="center"/>
    </xf>
    <xf numFmtId="41" fontId="16" fillId="0" borderId="98" xfId="1" applyFont="1" applyBorder="1" applyAlignment="1">
      <alignment horizontal="center" vertical="center"/>
    </xf>
    <xf numFmtId="41" fontId="9" fillId="0" borderId="9" xfId="1" applyFont="1" applyBorder="1">
      <alignment vertical="center"/>
    </xf>
    <xf numFmtId="41" fontId="21" fillId="0" borderId="95" xfId="1" applyFont="1" applyBorder="1" applyAlignment="1">
      <alignment horizontal="center" vertical="center"/>
    </xf>
    <xf numFmtId="41" fontId="5" fillId="0" borderId="56" xfId="1" applyFont="1" applyBorder="1" applyAlignment="1">
      <alignment vertical="center"/>
    </xf>
    <xf numFmtId="41" fontId="5" fillId="0" borderId="112" xfId="1" applyFont="1" applyBorder="1" applyAlignment="1">
      <alignment vertical="center"/>
    </xf>
    <xf numFmtId="41" fontId="5" fillId="0" borderId="114" xfId="1" applyFont="1" applyBorder="1" applyAlignment="1">
      <alignment vertical="center"/>
    </xf>
    <xf numFmtId="41" fontId="5" fillId="0" borderId="113" xfId="1" applyFont="1" applyBorder="1" applyAlignment="1">
      <alignment vertical="center"/>
    </xf>
    <xf numFmtId="41" fontId="13" fillId="5" borderId="91" xfId="1" applyFont="1" applyFill="1" applyBorder="1" applyAlignment="1">
      <alignment horizontal="center" vertical="center"/>
    </xf>
    <xf numFmtId="41" fontId="5" fillId="0" borderId="70" xfId="1" applyFont="1" applyBorder="1">
      <alignment vertical="center"/>
    </xf>
    <xf numFmtId="41" fontId="5" fillId="0" borderId="49" xfId="1" applyFont="1" applyBorder="1">
      <alignment vertical="center"/>
    </xf>
    <xf numFmtId="41" fontId="32" fillId="0" borderId="46" xfId="1" applyFont="1" applyBorder="1" applyAlignment="1">
      <alignment vertical="center"/>
    </xf>
    <xf numFmtId="41" fontId="33" fillId="17" borderId="89" xfId="1" applyFont="1" applyFill="1" applyBorder="1" applyAlignment="1">
      <alignment horizontal="center" vertical="center" wrapText="1"/>
    </xf>
    <xf numFmtId="41" fontId="21" fillId="5" borderId="49" xfId="1" applyFont="1" applyFill="1" applyBorder="1" applyAlignment="1">
      <alignment horizontal="center" vertical="center"/>
    </xf>
    <xf numFmtId="41" fontId="32" fillId="0" borderId="49" xfId="1" applyFont="1" applyBorder="1" applyAlignment="1">
      <alignment vertical="center"/>
    </xf>
    <xf numFmtId="41" fontId="4" fillId="0" borderId="118" xfId="1" applyFont="1" applyBorder="1" applyAlignment="1">
      <alignment horizontal="center" vertical="center" wrapText="1"/>
    </xf>
    <xf numFmtId="41" fontId="21" fillId="0" borderId="30" xfId="1" applyFont="1" applyBorder="1">
      <alignment vertical="center"/>
    </xf>
    <xf numFmtId="41" fontId="21" fillId="14" borderId="129" xfId="1" applyFont="1" applyFill="1" applyBorder="1">
      <alignment vertical="center"/>
    </xf>
    <xf numFmtId="41" fontId="6" fillId="14" borderId="105" xfId="1" applyFont="1" applyFill="1" applyBorder="1">
      <alignment vertical="center"/>
    </xf>
    <xf numFmtId="41" fontId="32" fillId="14" borderId="119" xfId="1" applyFont="1" applyFill="1" applyBorder="1">
      <alignment vertical="center"/>
    </xf>
    <xf numFmtId="41" fontId="32" fillId="14" borderId="120" xfId="1" applyFont="1" applyFill="1" applyBorder="1">
      <alignment vertical="center"/>
    </xf>
    <xf numFmtId="41" fontId="32" fillId="14" borderId="64" xfId="1" applyFont="1" applyFill="1" applyBorder="1">
      <alignment vertical="center"/>
    </xf>
    <xf numFmtId="41" fontId="5" fillId="0" borderId="51" xfId="1" applyFont="1" applyBorder="1">
      <alignment vertical="center"/>
    </xf>
    <xf numFmtId="41" fontId="5" fillId="0" borderId="95" xfId="1" applyFont="1" applyBorder="1">
      <alignment vertical="center"/>
    </xf>
    <xf numFmtId="0" fontId="25" fillId="12" borderId="69" xfId="0" applyFont="1" applyFill="1" applyBorder="1" applyAlignment="1">
      <alignment horizontal="center" vertical="center" wrapText="1"/>
    </xf>
    <xf numFmtId="41" fontId="4" fillId="5" borderId="25" xfId="1" applyFont="1" applyFill="1" applyBorder="1" applyAlignment="1">
      <alignment horizontal="center" vertical="center" wrapText="1"/>
    </xf>
    <xf numFmtId="41" fontId="4" fillId="5" borderId="62" xfId="1" applyFont="1" applyFill="1" applyBorder="1" applyAlignment="1">
      <alignment vertical="center"/>
    </xf>
    <xf numFmtId="41" fontId="10" fillId="5" borderId="78" xfId="1" applyFont="1" applyFill="1" applyBorder="1" applyAlignment="1">
      <alignment horizontal="center" vertical="center"/>
    </xf>
    <xf numFmtId="41" fontId="4" fillId="5" borderId="62" xfId="1" applyFont="1" applyFill="1" applyBorder="1" applyAlignment="1">
      <alignment horizontal="center" vertical="center" wrapText="1"/>
    </xf>
    <xf numFmtId="41" fontId="10" fillId="5" borderId="59" xfId="1" applyFont="1" applyFill="1" applyBorder="1" applyAlignment="1">
      <alignment horizontal="center" vertical="center"/>
    </xf>
    <xf numFmtId="41" fontId="10" fillId="5" borderId="78" xfId="1" applyFont="1" applyFill="1" applyBorder="1" applyAlignment="1">
      <alignment horizontal="center" vertical="center" wrapText="1"/>
    </xf>
    <xf numFmtId="41" fontId="10" fillId="5" borderId="62" xfId="1" applyFont="1" applyFill="1" applyBorder="1" applyAlignment="1">
      <alignment horizontal="center" vertical="center" wrapText="1"/>
    </xf>
    <xf numFmtId="41" fontId="4" fillId="5" borderId="70" xfId="1" applyFont="1" applyFill="1" applyBorder="1" applyAlignment="1">
      <alignment horizontal="center" vertical="center" wrapText="1"/>
    </xf>
    <xf numFmtId="41" fontId="10" fillId="5" borderId="49" xfId="1" applyFont="1" applyFill="1" applyBorder="1" applyAlignment="1">
      <alignment horizontal="center" vertical="center" wrapText="1"/>
    </xf>
    <xf numFmtId="41" fontId="4" fillId="5" borderId="49" xfId="1" applyFont="1" applyFill="1" applyBorder="1" applyAlignment="1">
      <alignment vertical="center"/>
    </xf>
    <xf numFmtId="41" fontId="4" fillId="5" borderId="49" xfId="1" applyFont="1" applyFill="1" applyBorder="1" applyAlignment="1">
      <alignment horizontal="center" vertical="center" wrapText="1"/>
    </xf>
    <xf numFmtId="41" fontId="10" fillId="5" borderId="46" xfId="1" applyFont="1" applyFill="1" applyBorder="1" applyAlignment="1">
      <alignment horizontal="center" vertical="center"/>
    </xf>
    <xf numFmtId="41" fontId="4" fillId="5" borderId="77" xfId="1" applyFont="1" applyFill="1" applyBorder="1" applyAlignment="1">
      <alignment horizontal="center" vertical="center" wrapText="1"/>
    </xf>
    <xf numFmtId="41" fontId="13" fillId="5" borderId="19" xfId="1" applyFont="1" applyFill="1" applyBorder="1" applyAlignment="1">
      <alignment horizontal="center" vertical="center"/>
    </xf>
    <xf numFmtId="41" fontId="4" fillId="5" borderId="78" xfId="1" applyFont="1" applyFill="1" applyBorder="1" applyAlignment="1">
      <alignment vertical="center"/>
    </xf>
    <xf numFmtId="41" fontId="4" fillId="5" borderId="78" xfId="1" applyFont="1" applyFill="1" applyBorder="1" applyAlignment="1">
      <alignment horizontal="center" vertical="center" wrapText="1"/>
    </xf>
    <xf numFmtId="41" fontId="10" fillId="5" borderId="99" xfId="1" applyFont="1" applyFill="1" applyBorder="1" applyAlignment="1">
      <alignment horizontal="center" vertical="center" wrapText="1"/>
    </xf>
    <xf numFmtId="41" fontId="10" fillId="5" borderId="56" xfId="1" applyFont="1" applyFill="1" applyBorder="1" applyAlignment="1">
      <alignment horizontal="center" vertical="center" wrapText="1"/>
    </xf>
    <xf numFmtId="41" fontId="10" fillId="5" borderId="60" xfId="1" applyFont="1" applyFill="1" applyBorder="1" applyAlignment="1">
      <alignment horizontal="center" vertical="center" wrapText="1"/>
    </xf>
    <xf numFmtId="41" fontId="4" fillId="5" borderId="130" xfId="1" applyFont="1" applyFill="1" applyBorder="1" applyAlignment="1">
      <alignment horizontal="center" vertical="center" wrapText="1"/>
    </xf>
    <xf numFmtId="41" fontId="4" fillId="5" borderId="131" xfId="1" applyFont="1" applyFill="1" applyBorder="1" applyAlignment="1">
      <alignment horizontal="center" vertical="center" wrapText="1"/>
    </xf>
    <xf numFmtId="41" fontId="4" fillId="5" borderId="63" xfId="1" applyFont="1" applyFill="1" applyBorder="1" applyAlignment="1">
      <alignment horizontal="center" vertical="center" wrapText="1"/>
    </xf>
    <xf numFmtId="41" fontId="10" fillId="5" borderId="44" xfId="1" applyFont="1" applyFill="1" applyBorder="1" applyAlignment="1">
      <alignment horizontal="center" vertical="center"/>
    </xf>
    <xf numFmtId="41" fontId="10" fillId="5" borderId="56" xfId="1" applyFont="1" applyFill="1" applyBorder="1" applyAlignment="1">
      <alignment horizontal="center" vertical="center"/>
    </xf>
    <xf numFmtId="41" fontId="10" fillId="5" borderId="60" xfId="1" applyFont="1" applyFill="1" applyBorder="1" applyAlignment="1">
      <alignment horizontal="center" vertical="center"/>
    </xf>
    <xf numFmtId="0" fontId="6" fillId="12" borderId="49" xfId="0" applyFont="1" applyFill="1" applyBorder="1" applyAlignment="1">
      <alignment horizontal="center" vertical="center"/>
    </xf>
    <xf numFmtId="0" fontId="6" fillId="12" borderId="62" xfId="0" applyFont="1" applyFill="1" applyBorder="1" applyAlignment="1">
      <alignment horizontal="center" vertical="center"/>
    </xf>
    <xf numFmtId="0" fontId="6" fillId="17" borderId="83" xfId="0" applyFont="1" applyFill="1" applyBorder="1" applyAlignment="1">
      <alignment horizontal="center" vertical="center"/>
    </xf>
    <xf numFmtId="0" fontId="22" fillId="24" borderId="25" xfId="0" applyFont="1" applyFill="1" applyBorder="1" applyAlignment="1">
      <alignment horizontal="center" vertical="center"/>
    </xf>
    <xf numFmtId="41" fontId="6" fillId="5" borderId="83" xfId="1" applyFont="1" applyFill="1" applyBorder="1" applyAlignment="1">
      <alignment horizontal="center" vertical="center"/>
    </xf>
    <xf numFmtId="41" fontId="21" fillId="17" borderId="99" xfId="1" applyFont="1" applyFill="1" applyBorder="1" applyAlignment="1">
      <alignment horizontal="center" vertical="center"/>
    </xf>
    <xf numFmtId="41" fontId="4" fillId="23" borderId="26" xfId="1" applyFont="1" applyFill="1" applyBorder="1" applyAlignment="1">
      <alignment vertical="center"/>
    </xf>
    <xf numFmtId="41" fontId="4" fillId="23" borderId="64" xfId="1" applyFont="1" applyFill="1" applyBorder="1" applyAlignment="1">
      <alignment vertical="center"/>
    </xf>
    <xf numFmtId="41" fontId="4" fillId="24" borderId="26" xfId="1" applyFont="1" applyFill="1" applyBorder="1" applyAlignment="1">
      <alignment vertical="center"/>
    </xf>
    <xf numFmtId="41" fontId="6" fillId="5" borderId="25" xfId="1" applyFont="1" applyFill="1" applyBorder="1" applyAlignment="1">
      <alignment horizontal="center" vertical="center"/>
    </xf>
    <xf numFmtId="41" fontId="6" fillId="10" borderId="44" xfId="1" applyFont="1" applyFill="1" applyBorder="1" applyAlignment="1">
      <alignment horizontal="center" vertical="center"/>
    </xf>
    <xf numFmtId="41" fontId="5" fillId="0" borderId="46" xfId="1" applyFont="1" applyBorder="1">
      <alignment vertical="center"/>
    </xf>
    <xf numFmtId="41" fontId="10" fillId="17" borderId="74" xfId="1" applyFont="1" applyFill="1" applyBorder="1" applyAlignment="1">
      <alignment horizontal="center" vertical="center" wrapText="1"/>
    </xf>
    <xf numFmtId="41" fontId="18" fillId="8" borderId="89" xfId="1" applyFont="1" applyFill="1" applyBorder="1" applyAlignment="1">
      <alignment horizontal="center" vertical="center"/>
    </xf>
    <xf numFmtId="41" fontId="5" fillId="0" borderId="35" xfId="1" applyFont="1" applyBorder="1">
      <alignment vertical="center"/>
    </xf>
    <xf numFmtId="41" fontId="5" fillId="0" borderId="58" xfId="1" applyFont="1" applyBorder="1" applyAlignment="1">
      <alignment vertical="center"/>
    </xf>
    <xf numFmtId="41" fontId="5" fillId="0" borderId="51" xfId="1" applyFont="1" applyBorder="1" applyAlignment="1">
      <alignment vertical="center"/>
    </xf>
    <xf numFmtId="41" fontId="16" fillId="0" borderId="117" xfId="1" applyFont="1" applyFill="1" applyBorder="1" applyAlignment="1">
      <alignment horizontal="center" vertical="center"/>
    </xf>
    <xf numFmtId="41" fontId="16" fillId="0" borderId="87" xfId="1" applyFont="1" applyBorder="1" applyAlignment="1">
      <alignment horizontal="center" vertical="center"/>
    </xf>
    <xf numFmtId="41" fontId="16" fillId="0" borderId="79" xfId="1" applyFont="1" applyBorder="1" applyAlignment="1">
      <alignment horizontal="center" vertical="center"/>
    </xf>
    <xf numFmtId="41" fontId="5" fillId="5" borderId="49" xfId="1" applyFont="1" applyFill="1" applyBorder="1" applyAlignment="1">
      <alignment horizontal="center" vertical="center"/>
    </xf>
    <xf numFmtId="41" fontId="21" fillId="0" borderId="37" xfId="1" applyFont="1" applyBorder="1" applyAlignment="1">
      <alignment vertical="center"/>
    </xf>
    <xf numFmtId="41" fontId="21" fillId="0" borderId="95" xfId="1" applyFont="1" applyBorder="1" applyAlignment="1">
      <alignment vertical="center"/>
    </xf>
    <xf numFmtId="41" fontId="16" fillId="0" borderId="112" xfId="1" applyFont="1" applyBorder="1" applyAlignment="1">
      <alignment vertical="center"/>
    </xf>
    <xf numFmtId="41" fontId="16" fillId="0" borderId="90" xfId="1" applyFont="1" applyBorder="1" applyAlignment="1">
      <alignment vertical="center"/>
    </xf>
    <xf numFmtId="41" fontId="16" fillId="0" borderId="114" xfId="1" applyFont="1" applyBorder="1" applyAlignment="1">
      <alignment vertical="center"/>
    </xf>
    <xf numFmtId="41" fontId="16" fillId="0" borderId="111" xfId="1" applyFont="1" applyBorder="1" applyAlignment="1">
      <alignment vertical="center"/>
    </xf>
    <xf numFmtId="41" fontId="16" fillId="0" borderId="113" xfId="1" applyFont="1" applyBorder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/>
    </xf>
    <xf numFmtId="0" fontId="22" fillId="8" borderId="25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6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2" fillId="8" borderId="0" xfId="0" applyFont="1" applyFill="1" applyBorder="1" applyAlignment="1">
      <alignment horizontal="center" vertical="center" wrapText="1"/>
    </xf>
    <xf numFmtId="0" fontId="22" fillId="8" borderId="67" xfId="0" applyFont="1" applyFill="1" applyBorder="1" applyAlignment="1">
      <alignment horizontal="center" vertical="center" wrapText="1"/>
    </xf>
    <xf numFmtId="0" fontId="22" fillId="8" borderId="77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6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41" fontId="13" fillId="5" borderId="77" xfId="1" applyFont="1" applyFill="1" applyBorder="1" applyAlignment="1">
      <alignment horizontal="center" vertical="center"/>
    </xf>
    <xf numFmtId="41" fontId="13" fillId="5" borderId="57" xfId="1" applyFont="1" applyFill="1" applyBorder="1" applyAlignment="1">
      <alignment horizontal="center" vertical="center"/>
    </xf>
    <xf numFmtId="41" fontId="13" fillId="5" borderId="64" xfId="1" applyFont="1" applyFill="1" applyBorder="1" applyAlignment="1">
      <alignment horizontal="center" vertical="center"/>
    </xf>
    <xf numFmtId="41" fontId="13" fillId="5" borderId="1" xfId="1" applyFont="1" applyFill="1" applyBorder="1" applyAlignment="1">
      <alignment horizontal="center" vertical="center"/>
    </xf>
    <xf numFmtId="41" fontId="13" fillId="5" borderId="2" xfId="1" applyFont="1" applyFill="1" applyBorder="1" applyAlignment="1">
      <alignment horizontal="center" vertical="center"/>
    </xf>
    <xf numFmtId="41" fontId="13" fillId="5" borderId="3" xfId="1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41" fontId="4" fillId="12" borderId="73" xfId="1" applyFont="1" applyFill="1" applyBorder="1" applyAlignment="1">
      <alignment horizontal="center" vertical="center" wrapText="1"/>
    </xf>
    <xf numFmtId="41" fontId="4" fillId="12" borderId="75" xfId="1" applyFont="1" applyFill="1" applyBorder="1" applyAlignment="1">
      <alignment horizontal="center" vertical="center"/>
    </xf>
    <xf numFmtId="41" fontId="4" fillId="12" borderId="59" xfId="1" applyFont="1" applyFill="1" applyBorder="1" applyAlignment="1">
      <alignment horizontal="center" vertical="center"/>
    </xf>
    <xf numFmtId="41" fontId="13" fillId="0" borderId="78" xfId="1" applyFont="1" applyBorder="1" applyAlignment="1">
      <alignment horizontal="center" vertical="center" wrapText="1"/>
    </xf>
    <xf numFmtId="41" fontId="13" fillId="0" borderId="85" xfId="1" applyFont="1" applyBorder="1" applyAlignment="1">
      <alignment horizontal="center" vertical="center" wrapText="1"/>
    </xf>
    <xf numFmtId="41" fontId="9" fillId="6" borderId="2" xfId="1" applyFont="1" applyFill="1" applyBorder="1" applyAlignment="1">
      <alignment horizontal="center" vertical="center"/>
    </xf>
    <xf numFmtId="41" fontId="9" fillId="6" borderId="85" xfId="1" applyFont="1" applyFill="1" applyBorder="1" applyAlignment="1">
      <alignment horizontal="center" vertical="center"/>
    </xf>
    <xf numFmtId="0" fontId="15" fillId="7" borderId="25" xfId="0" applyFont="1" applyFill="1" applyBorder="1" applyAlignment="1">
      <alignment horizontal="center" vertical="center"/>
    </xf>
    <xf numFmtId="0" fontId="15" fillId="7" borderId="26" xfId="0" applyFont="1" applyFill="1" applyBorder="1" applyAlignment="1">
      <alignment horizontal="center" vertical="center"/>
    </xf>
    <xf numFmtId="41" fontId="29" fillId="22" borderId="1" xfId="1" applyFont="1" applyFill="1" applyBorder="1" applyAlignment="1">
      <alignment horizontal="center" vertical="center" wrapText="1"/>
    </xf>
    <xf numFmtId="41" fontId="29" fillId="22" borderId="3" xfId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41" fontId="13" fillId="0" borderId="41" xfId="1" applyFont="1" applyBorder="1" applyAlignment="1">
      <alignment horizontal="center" vertical="center"/>
    </xf>
    <xf numFmtId="41" fontId="13" fillId="0" borderId="68" xfId="1" applyFont="1" applyBorder="1" applyAlignment="1">
      <alignment horizontal="center" vertical="center"/>
    </xf>
    <xf numFmtId="41" fontId="13" fillId="0" borderId="42" xfId="1" applyFont="1" applyBorder="1" applyAlignment="1">
      <alignment horizontal="center" vertical="center"/>
    </xf>
    <xf numFmtId="41" fontId="4" fillId="0" borderId="73" xfId="1" applyFont="1" applyBorder="1" applyAlignment="1">
      <alignment horizontal="center" vertical="center" wrapText="1"/>
    </xf>
    <xf numFmtId="41" fontId="4" fillId="0" borderId="75" xfId="1" applyFont="1" applyBorder="1" applyAlignment="1">
      <alignment horizontal="center" vertical="center"/>
    </xf>
    <xf numFmtId="41" fontId="4" fillId="0" borderId="59" xfId="1" applyFont="1" applyBorder="1" applyAlignment="1">
      <alignment horizontal="center" vertical="center"/>
    </xf>
    <xf numFmtId="41" fontId="4" fillId="17" borderId="86" xfId="1" applyFont="1" applyFill="1" applyBorder="1" applyAlignment="1">
      <alignment horizontal="center" vertical="center"/>
    </xf>
    <xf numFmtId="41" fontId="4" fillId="17" borderId="21" xfId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41" fontId="4" fillId="2" borderId="83" xfId="1" applyFont="1" applyFill="1" applyBorder="1" applyAlignment="1">
      <alignment horizontal="center" vertical="center" wrapText="1"/>
    </xf>
    <xf numFmtId="41" fontId="4" fillId="2" borderId="84" xfId="1" applyFont="1" applyFill="1" applyBorder="1" applyAlignment="1">
      <alignment horizontal="center" vertical="center"/>
    </xf>
    <xf numFmtId="41" fontId="4" fillId="2" borderId="62" xfId="1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/>
    </xf>
    <xf numFmtId="41" fontId="13" fillId="0" borderId="122" xfId="1" applyFont="1" applyBorder="1" applyAlignment="1">
      <alignment horizontal="center" vertical="center"/>
    </xf>
    <xf numFmtId="41" fontId="13" fillId="0" borderId="127" xfId="1" applyFont="1" applyBorder="1" applyAlignment="1">
      <alignment horizontal="center" vertical="center"/>
    </xf>
    <xf numFmtId="41" fontId="4" fillId="0" borderId="108" xfId="1" applyFont="1" applyBorder="1" applyAlignment="1">
      <alignment horizontal="center" vertical="center" wrapText="1"/>
    </xf>
    <xf numFmtId="41" fontId="4" fillId="0" borderId="109" xfId="1" applyFont="1" applyBorder="1" applyAlignment="1">
      <alignment horizontal="center" vertical="center"/>
    </xf>
    <xf numFmtId="41" fontId="4" fillId="4" borderId="45" xfId="1" applyFont="1" applyFill="1" applyBorder="1" applyAlignment="1">
      <alignment horizontal="center" vertical="center" wrapText="1"/>
    </xf>
    <xf numFmtId="41" fontId="4" fillId="4" borderId="65" xfId="1" applyFont="1" applyFill="1" applyBorder="1" applyAlignment="1">
      <alignment horizontal="center" vertical="center"/>
    </xf>
    <xf numFmtId="41" fontId="8" fillId="0" borderId="79" xfId="1" applyFont="1" applyBorder="1" applyAlignment="1">
      <alignment horizontal="center" vertical="center"/>
    </xf>
    <xf numFmtId="41" fontId="8" fillId="0" borderId="75" xfId="1" applyFont="1" applyBorder="1" applyAlignment="1">
      <alignment horizontal="center" vertical="center"/>
    </xf>
    <xf numFmtId="41" fontId="8" fillId="0" borderId="100" xfId="1" applyFont="1" applyBorder="1" applyAlignment="1">
      <alignment horizontal="center" vertical="center"/>
    </xf>
    <xf numFmtId="41" fontId="8" fillId="0" borderId="102" xfId="1" applyFont="1" applyBorder="1" applyAlignment="1">
      <alignment horizontal="center" vertical="center"/>
    </xf>
    <xf numFmtId="41" fontId="13" fillId="0" borderId="124" xfId="1" applyFont="1" applyBorder="1" applyAlignment="1">
      <alignment horizontal="center" vertical="center"/>
    </xf>
    <xf numFmtId="41" fontId="13" fillId="0" borderId="125" xfId="1" applyFont="1" applyBorder="1" applyAlignment="1">
      <alignment horizontal="center" vertical="center"/>
    </xf>
    <xf numFmtId="41" fontId="4" fillId="0" borderId="92" xfId="1" applyFont="1" applyBorder="1" applyAlignment="1">
      <alignment horizontal="center" vertical="center" wrapText="1"/>
    </xf>
    <xf numFmtId="41" fontId="4" fillId="0" borderId="103" xfId="1" applyFont="1" applyBorder="1" applyAlignment="1">
      <alignment horizontal="center" vertical="center" wrapText="1"/>
    </xf>
    <xf numFmtId="41" fontId="4" fillId="17" borderId="14" xfId="1" applyFont="1" applyFill="1" applyBorder="1" applyAlignment="1">
      <alignment horizontal="center" vertical="center"/>
    </xf>
    <xf numFmtId="41" fontId="4" fillId="17" borderId="72" xfId="1" applyFont="1" applyFill="1" applyBorder="1" applyAlignment="1">
      <alignment horizontal="center" vertical="center"/>
    </xf>
    <xf numFmtId="41" fontId="9" fillId="0" borderId="87" xfId="1" applyFont="1" applyFill="1" applyBorder="1" applyAlignment="1">
      <alignment horizontal="center" vertical="center"/>
    </xf>
    <xf numFmtId="41" fontId="9" fillId="0" borderId="68" xfId="1" applyFont="1" applyFill="1" applyBorder="1" applyAlignment="1">
      <alignment horizontal="center" vertical="center"/>
    </xf>
    <xf numFmtId="41" fontId="8" fillId="0" borderId="87" xfId="1" applyFont="1" applyBorder="1" applyAlignment="1">
      <alignment horizontal="center" vertical="center"/>
    </xf>
    <xf numFmtId="41" fontId="8" fillId="0" borderId="68" xfId="1" applyFont="1" applyBorder="1" applyAlignment="1">
      <alignment horizontal="center" vertical="center"/>
    </xf>
    <xf numFmtId="41" fontId="9" fillId="0" borderId="73" xfId="1" applyFont="1" applyBorder="1" applyAlignment="1">
      <alignment horizontal="center" vertical="center"/>
    </xf>
    <xf numFmtId="41" fontId="9" fillId="0" borderId="51" xfId="1" applyFont="1" applyBorder="1" applyAlignment="1">
      <alignment horizontal="center" vertical="center"/>
    </xf>
    <xf numFmtId="41" fontId="9" fillId="0" borderId="99" xfId="1" applyFont="1" applyBorder="1" applyAlignment="1">
      <alignment horizontal="center" vertical="center"/>
    </xf>
    <xf numFmtId="41" fontId="9" fillId="0" borderId="95" xfId="1" applyFont="1" applyBorder="1" applyAlignment="1">
      <alignment horizontal="center" vertical="center"/>
    </xf>
    <xf numFmtId="41" fontId="13" fillId="0" borderId="123" xfId="1" applyFont="1" applyBorder="1" applyAlignment="1">
      <alignment horizontal="center" vertical="center"/>
    </xf>
    <xf numFmtId="41" fontId="13" fillId="0" borderId="27" xfId="1" applyFont="1" applyBorder="1" applyAlignment="1">
      <alignment horizontal="center" vertical="center" wrapText="1"/>
    </xf>
    <xf numFmtId="41" fontId="13" fillId="0" borderId="82" xfId="1" applyFont="1" applyBorder="1" applyAlignment="1">
      <alignment horizontal="center" vertical="center"/>
    </xf>
    <xf numFmtId="41" fontId="13" fillId="17" borderId="27" xfId="1" applyFont="1" applyFill="1" applyBorder="1" applyAlignment="1">
      <alignment horizontal="center" vertical="center" wrapText="1"/>
    </xf>
    <xf numFmtId="41" fontId="13" fillId="17" borderId="82" xfId="1" applyFont="1" applyFill="1" applyBorder="1" applyAlignment="1">
      <alignment horizontal="center" vertical="center"/>
    </xf>
    <xf numFmtId="41" fontId="13" fillId="5" borderId="37" xfId="1" applyFont="1" applyFill="1" applyBorder="1" applyAlignment="1">
      <alignment horizontal="center" vertical="center"/>
    </xf>
    <xf numFmtId="41" fontId="13" fillId="5" borderId="38" xfId="1" applyFont="1" applyFill="1" applyBorder="1" applyAlignment="1">
      <alignment horizontal="center" vertical="center"/>
    </xf>
    <xf numFmtId="41" fontId="13" fillId="5" borderId="39" xfId="1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/>
    </xf>
    <xf numFmtId="41" fontId="35" fillId="22" borderId="1" xfId="1" applyFont="1" applyFill="1" applyBorder="1" applyAlignment="1">
      <alignment horizontal="center" vertical="center" wrapText="1"/>
    </xf>
    <xf numFmtId="41" fontId="35" fillId="22" borderId="3" xfId="1" applyFont="1" applyFill="1" applyBorder="1" applyAlignment="1">
      <alignment horizontal="center" vertical="center" wrapText="1"/>
    </xf>
    <xf numFmtId="0" fontId="22" fillId="18" borderId="25" xfId="0" applyFont="1" applyFill="1" applyBorder="1" applyAlignment="1">
      <alignment horizontal="center" vertical="center" wrapText="1"/>
    </xf>
    <xf numFmtId="0" fontId="22" fillId="18" borderId="35" xfId="0" applyFont="1" applyFill="1" applyBorder="1" applyAlignment="1">
      <alignment horizontal="center" vertical="center" wrapText="1"/>
    </xf>
    <xf numFmtId="41" fontId="9" fillId="0" borderId="41" xfId="1" applyFont="1" applyBorder="1" applyAlignment="1">
      <alignment horizontal="center" vertical="center"/>
    </xf>
    <xf numFmtId="41" fontId="9" fillId="0" borderId="58" xfId="1" applyFont="1" applyBorder="1" applyAlignment="1">
      <alignment horizontal="center" vertical="center"/>
    </xf>
    <xf numFmtId="41" fontId="6" fillId="5" borderId="73" xfId="1" applyFont="1" applyFill="1" applyBorder="1" applyAlignment="1">
      <alignment horizontal="center" vertical="center" wrapText="1"/>
    </xf>
    <xf numFmtId="41" fontId="6" fillId="5" borderId="59" xfId="1" applyFont="1" applyFill="1" applyBorder="1" applyAlignment="1">
      <alignment horizontal="center" vertical="center"/>
    </xf>
    <xf numFmtId="41" fontId="21" fillId="12" borderId="99" xfId="1" applyFont="1" applyFill="1" applyBorder="1" applyAlignment="1">
      <alignment horizontal="center" vertical="center" wrapText="1"/>
    </xf>
    <xf numFmtId="41" fontId="21" fillId="12" borderId="60" xfId="1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 wrapText="1"/>
    </xf>
    <xf numFmtId="0" fontId="15" fillId="13" borderId="68" xfId="0" applyFont="1" applyFill="1" applyBorder="1" applyAlignment="1">
      <alignment horizontal="center" vertical="center" wrapText="1"/>
    </xf>
    <xf numFmtId="0" fontId="15" fillId="13" borderId="42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horizontal="center" vertical="center"/>
    </xf>
    <xf numFmtId="41" fontId="13" fillId="0" borderId="25" xfId="1" applyFont="1" applyBorder="1" applyAlignment="1">
      <alignment horizontal="center" vertical="center"/>
    </xf>
    <xf numFmtId="41" fontId="13" fillId="0" borderId="77" xfId="1" applyFont="1" applyBorder="1" applyAlignment="1">
      <alignment horizontal="center" vertical="center"/>
    </xf>
    <xf numFmtId="41" fontId="4" fillId="16" borderId="83" xfId="1" applyFont="1" applyFill="1" applyBorder="1" applyAlignment="1">
      <alignment horizontal="center" vertical="center" wrapText="1"/>
    </xf>
    <xf numFmtId="41" fontId="4" fillId="16" borderId="62" xfId="1" applyFont="1" applyFill="1" applyBorder="1" applyAlignment="1">
      <alignment horizontal="center" vertical="center" wrapText="1"/>
    </xf>
    <xf numFmtId="41" fontId="13" fillId="5" borderId="41" xfId="1" applyFont="1" applyFill="1" applyBorder="1" applyAlignment="1">
      <alignment horizontal="center" vertical="center"/>
    </xf>
    <xf numFmtId="41" fontId="13" fillId="5" borderId="42" xfId="1" applyFont="1" applyFill="1" applyBorder="1" applyAlignment="1">
      <alignment horizontal="center" vertical="center"/>
    </xf>
    <xf numFmtId="41" fontId="35" fillId="22" borderId="25" xfId="1" applyFont="1" applyFill="1" applyBorder="1" applyAlignment="1">
      <alignment horizontal="center" vertical="center" wrapText="1"/>
    </xf>
    <xf numFmtId="41" fontId="35" fillId="22" borderId="26" xfId="1" applyFont="1" applyFill="1" applyBorder="1" applyAlignment="1">
      <alignment horizontal="center" vertical="center" wrapText="1"/>
    </xf>
    <xf numFmtId="41" fontId="35" fillId="5" borderId="1" xfId="1" applyFont="1" applyFill="1" applyBorder="1" applyAlignment="1">
      <alignment horizontal="center" vertical="center"/>
    </xf>
    <xf numFmtId="41" fontId="35" fillId="5" borderId="2" xfId="1" applyFont="1" applyFill="1" applyBorder="1" applyAlignment="1">
      <alignment horizontal="center" vertical="center"/>
    </xf>
    <xf numFmtId="41" fontId="35" fillId="5" borderId="3" xfId="1" applyFont="1" applyFill="1" applyBorder="1" applyAlignment="1">
      <alignment horizontal="center" vertical="center"/>
    </xf>
    <xf numFmtId="0" fontId="15" fillId="23" borderId="41" xfId="0" applyFont="1" applyFill="1" applyBorder="1" applyAlignment="1">
      <alignment horizontal="center" vertical="center" wrapText="1"/>
    </xf>
    <xf numFmtId="0" fontId="15" fillId="23" borderId="42" xfId="0" applyFont="1" applyFill="1" applyBorder="1" applyAlignment="1">
      <alignment horizontal="center" vertical="center"/>
    </xf>
    <xf numFmtId="41" fontId="5" fillId="5" borderId="25" xfId="1" applyFont="1" applyFill="1" applyBorder="1" applyAlignment="1">
      <alignment horizontal="center" vertical="center" wrapText="1"/>
    </xf>
    <xf numFmtId="41" fontId="5" fillId="5" borderId="19" xfId="1" applyFont="1" applyFill="1" applyBorder="1" applyAlignment="1">
      <alignment horizontal="center" vertical="center"/>
    </xf>
    <xf numFmtId="41" fontId="5" fillId="5" borderId="26" xfId="1" applyFont="1" applyFill="1" applyBorder="1" applyAlignment="1">
      <alignment horizontal="center" vertical="center"/>
    </xf>
    <xf numFmtId="41" fontId="5" fillId="5" borderId="77" xfId="1" applyFont="1" applyFill="1" applyBorder="1" applyAlignment="1">
      <alignment horizontal="center" vertical="center"/>
    </xf>
    <xf numFmtId="41" fontId="5" fillId="5" borderId="57" xfId="1" applyFont="1" applyFill="1" applyBorder="1" applyAlignment="1">
      <alignment horizontal="center" vertical="center"/>
    </xf>
    <xf numFmtId="41" fontId="5" fillId="5" borderId="64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94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 wrapText="1"/>
    </xf>
    <xf numFmtId="0" fontId="10" fillId="2" borderId="102" xfId="0" applyFont="1" applyFill="1" applyBorder="1" applyAlignment="1">
      <alignment horizontal="center" vertical="center" wrapText="1"/>
    </xf>
    <xf numFmtId="0" fontId="10" fillId="2" borderId="11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955D90"/>
      <color rgb="FFEBDFEA"/>
      <color rgb="FFF78B75"/>
      <color rgb="FFF34E2D"/>
      <color rgb="FFF56C51"/>
      <color rgb="FFF9A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showGridLines="0" tabSelected="1" zoomScale="70" zoomScaleNormal="70" workbookViewId="0">
      <selection activeCell="H10" sqref="H10"/>
    </sheetView>
  </sheetViews>
  <sheetFormatPr defaultColWidth="9" defaultRowHeight="16.5" x14ac:dyDescent="0.3"/>
  <cols>
    <col min="1" max="1" width="5" style="2" customWidth="1"/>
    <col min="2" max="2" width="15.875" style="2" customWidth="1"/>
    <col min="3" max="3" width="37.25" style="2" customWidth="1"/>
    <col min="4" max="4" width="14.875" style="2" customWidth="1"/>
    <col min="5" max="7" width="10.625" style="2" customWidth="1"/>
    <col min="8" max="10" width="10.375" style="2" customWidth="1"/>
    <col min="11" max="16" width="10.75" style="2" customWidth="1"/>
    <col min="17" max="17" width="10" style="2" customWidth="1"/>
    <col min="18" max="18" width="21" style="2" customWidth="1"/>
    <col min="19" max="19" width="19.75" style="2" customWidth="1"/>
    <col min="20" max="20" width="11.875" style="2" customWidth="1"/>
    <col min="21" max="16384" width="9" style="2"/>
  </cols>
  <sheetData>
    <row r="1" spans="2:20" ht="17.25" thickBot="1" x14ac:dyDescent="0.35"/>
    <row r="2" spans="2:20" ht="48.75" customHeight="1" thickBot="1" x14ac:dyDescent="0.35">
      <c r="B2" s="435" t="s">
        <v>130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7"/>
    </row>
    <row r="3" spans="2:20" ht="30" customHeight="1" x14ac:dyDescent="0.3">
      <c r="B3" s="438" t="s">
        <v>10</v>
      </c>
      <c r="C3" s="439"/>
      <c r="D3" s="182" t="s">
        <v>56</v>
      </c>
      <c r="E3" s="444" t="s">
        <v>68</v>
      </c>
      <c r="F3" s="445"/>
      <c r="G3" s="445"/>
      <c r="H3" s="444" t="s">
        <v>55</v>
      </c>
      <c r="I3" s="445"/>
      <c r="J3" s="446"/>
      <c r="K3" s="444" t="s">
        <v>54</v>
      </c>
      <c r="L3" s="445"/>
      <c r="M3" s="445"/>
      <c r="N3" s="445"/>
      <c r="O3" s="445"/>
      <c r="P3" s="446"/>
      <c r="Q3" s="447" t="s">
        <v>8</v>
      </c>
      <c r="R3" s="450" t="s">
        <v>11</v>
      </c>
      <c r="S3" s="453" t="s">
        <v>9</v>
      </c>
      <c r="T3" s="454" t="s">
        <v>4</v>
      </c>
    </row>
    <row r="4" spans="2:20" ht="30" customHeight="1" x14ac:dyDescent="0.3">
      <c r="B4" s="440"/>
      <c r="C4" s="441"/>
      <c r="D4" s="183" t="s">
        <v>48</v>
      </c>
      <c r="E4" s="43" t="s">
        <v>18</v>
      </c>
      <c r="F4" s="44" t="s">
        <v>19</v>
      </c>
      <c r="G4" s="70" t="s">
        <v>29</v>
      </c>
      <c r="H4" s="186" t="s">
        <v>44</v>
      </c>
      <c r="I4" s="146" t="s">
        <v>45</v>
      </c>
      <c r="J4" s="147" t="s">
        <v>30</v>
      </c>
      <c r="K4" s="148" t="s">
        <v>46</v>
      </c>
      <c r="L4" s="68" t="s">
        <v>47</v>
      </c>
      <c r="M4" s="116" t="s">
        <v>49</v>
      </c>
      <c r="N4" s="146" t="s">
        <v>50</v>
      </c>
      <c r="O4" s="68" t="s">
        <v>51</v>
      </c>
      <c r="P4" s="118" t="s">
        <v>20</v>
      </c>
      <c r="Q4" s="448"/>
      <c r="R4" s="451"/>
      <c r="S4" s="451"/>
      <c r="T4" s="455"/>
    </row>
    <row r="5" spans="2:20" ht="30" customHeight="1" thickBot="1" x14ac:dyDescent="0.35">
      <c r="B5" s="442"/>
      <c r="C5" s="443"/>
      <c r="D5" s="184" t="s">
        <v>62</v>
      </c>
      <c r="E5" s="45" t="s">
        <v>39</v>
      </c>
      <c r="F5" s="46" t="s">
        <v>40</v>
      </c>
      <c r="G5" s="151" t="s">
        <v>63</v>
      </c>
      <c r="H5" s="149" t="s">
        <v>41</v>
      </c>
      <c r="I5" s="66" t="s">
        <v>42</v>
      </c>
      <c r="J5" s="117" t="s">
        <v>43</v>
      </c>
      <c r="K5" s="149" t="s">
        <v>52</v>
      </c>
      <c r="L5" s="66" t="s">
        <v>53</v>
      </c>
      <c r="M5" s="117" t="s">
        <v>64</v>
      </c>
      <c r="N5" s="67" t="s">
        <v>65</v>
      </c>
      <c r="O5" s="66" t="s">
        <v>66</v>
      </c>
      <c r="P5" s="119" t="s">
        <v>67</v>
      </c>
      <c r="Q5" s="449"/>
      <c r="R5" s="452"/>
      <c r="S5" s="452"/>
      <c r="T5" s="456"/>
    </row>
    <row r="6" spans="2:20" ht="33.6" customHeight="1" thickBot="1" x14ac:dyDescent="0.35"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2:20" ht="39" customHeight="1" thickBot="1" x14ac:dyDescent="0.35">
      <c r="B7" s="345" t="s">
        <v>17</v>
      </c>
      <c r="C7" s="400"/>
      <c r="D7" s="120"/>
      <c r="E7" s="187"/>
      <c r="F7" s="121"/>
      <c r="G7" s="153" t="s">
        <v>89</v>
      </c>
      <c r="H7" s="238" t="s">
        <v>31</v>
      </c>
      <c r="I7" s="10"/>
      <c r="J7" s="152" t="s">
        <v>83</v>
      </c>
      <c r="K7" s="142"/>
      <c r="L7" s="142"/>
      <c r="M7" s="187"/>
      <c r="N7" s="142"/>
      <c r="O7" s="422" t="s">
        <v>88</v>
      </c>
      <c r="P7" s="423"/>
      <c r="Q7" s="9"/>
      <c r="R7" s="285" t="s">
        <v>22</v>
      </c>
      <c r="S7" s="286" t="s">
        <v>111</v>
      </c>
      <c r="T7" s="10"/>
    </row>
    <row r="8" spans="2:20" ht="51" customHeight="1" thickBot="1" x14ac:dyDescent="0.35">
      <c r="B8" s="279" t="s">
        <v>108</v>
      </c>
      <c r="C8" s="278" t="s">
        <v>110</v>
      </c>
      <c r="D8" s="424" t="s">
        <v>113</v>
      </c>
      <c r="E8" s="425"/>
      <c r="F8" s="425"/>
      <c r="G8" s="426"/>
      <c r="H8" s="251"/>
      <c r="I8" s="265"/>
      <c r="J8" s="273"/>
      <c r="K8" s="270"/>
      <c r="L8" s="266"/>
      <c r="M8" s="253"/>
      <c r="N8" s="266"/>
      <c r="O8" s="256"/>
      <c r="P8" s="267"/>
      <c r="Q8" s="264" t="s">
        <v>1</v>
      </c>
      <c r="R8" s="280" t="s">
        <v>114</v>
      </c>
      <c r="S8" s="281" t="s">
        <v>115</v>
      </c>
      <c r="T8" s="284"/>
    </row>
    <row r="9" spans="2:20" ht="57" customHeight="1" x14ac:dyDescent="0.3">
      <c r="B9" s="427" t="s">
        <v>128</v>
      </c>
      <c r="C9" s="276" t="s">
        <v>107</v>
      </c>
      <c r="D9" s="429" t="s">
        <v>135</v>
      </c>
      <c r="E9" s="430"/>
      <c r="F9" s="430"/>
      <c r="G9" s="431"/>
      <c r="H9" s="258"/>
      <c r="I9" s="260"/>
      <c r="J9" s="274"/>
      <c r="K9" s="271"/>
      <c r="L9" s="261"/>
      <c r="M9" s="262"/>
      <c r="N9" s="261"/>
      <c r="O9" s="259"/>
      <c r="P9" s="268"/>
      <c r="Q9" s="420" t="s">
        <v>112</v>
      </c>
      <c r="R9" s="407" t="s">
        <v>117</v>
      </c>
      <c r="S9" s="409" t="s">
        <v>116</v>
      </c>
      <c r="T9" s="282"/>
    </row>
    <row r="10" spans="2:20" ht="57" customHeight="1" thickBot="1" x14ac:dyDescent="0.35">
      <c r="B10" s="428"/>
      <c r="C10" s="277" t="s">
        <v>109</v>
      </c>
      <c r="D10" s="432"/>
      <c r="E10" s="433"/>
      <c r="F10" s="433"/>
      <c r="G10" s="434"/>
      <c r="H10" s="263"/>
      <c r="I10" s="252"/>
      <c r="J10" s="275"/>
      <c r="K10" s="272"/>
      <c r="L10" s="254"/>
      <c r="M10" s="255"/>
      <c r="N10" s="254"/>
      <c r="O10" s="257"/>
      <c r="P10" s="269"/>
      <c r="Q10" s="421"/>
      <c r="R10" s="408"/>
      <c r="S10" s="410"/>
      <c r="T10" s="283"/>
    </row>
    <row r="11" spans="2:20" ht="64.5" customHeight="1" x14ac:dyDescent="0.3">
      <c r="B11" s="411" t="s">
        <v>21</v>
      </c>
      <c r="C11" s="74" t="s">
        <v>80</v>
      </c>
      <c r="D11" s="71">
        <v>0</v>
      </c>
      <c r="E11" s="71">
        <v>0</v>
      </c>
      <c r="F11" s="237">
        <v>850</v>
      </c>
      <c r="G11" s="69">
        <v>0</v>
      </c>
      <c r="H11" s="21">
        <v>0</v>
      </c>
      <c r="I11" s="237">
        <v>850</v>
      </c>
      <c r="J11" s="69">
        <v>0</v>
      </c>
      <c r="K11" s="150">
        <v>0</v>
      </c>
      <c r="L11" s="69">
        <v>0</v>
      </c>
      <c r="M11" s="69">
        <v>0</v>
      </c>
      <c r="N11" s="240">
        <v>850</v>
      </c>
      <c r="O11" s="69">
        <v>0</v>
      </c>
      <c r="P11" s="60">
        <v>0</v>
      </c>
      <c r="Q11" s="22" t="s">
        <v>69</v>
      </c>
      <c r="R11" s="122" t="s">
        <v>71</v>
      </c>
      <c r="S11" s="143" t="s">
        <v>72</v>
      </c>
      <c r="T11" s="245">
        <f>SUM(D11:P11)</f>
        <v>2550</v>
      </c>
    </row>
    <row r="12" spans="2:20" ht="80.25" customHeight="1" x14ac:dyDescent="0.3">
      <c r="B12" s="412"/>
      <c r="C12" s="72" t="s">
        <v>79</v>
      </c>
      <c r="D12" s="221">
        <v>600</v>
      </c>
      <c r="E12" s="207">
        <v>0</v>
      </c>
      <c r="F12" s="208">
        <v>600</v>
      </c>
      <c r="G12" s="209">
        <v>0</v>
      </c>
      <c r="H12" s="207">
        <v>600</v>
      </c>
      <c r="I12" s="208">
        <v>0</v>
      </c>
      <c r="J12" s="209">
        <v>600</v>
      </c>
      <c r="K12" s="210">
        <v>0</v>
      </c>
      <c r="L12" s="209">
        <v>600</v>
      </c>
      <c r="M12" s="209">
        <v>0</v>
      </c>
      <c r="N12" s="209">
        <v>600</v>
      </c>
      <c r="O12" s="209">
        <v>0</v>
      </c>
      <c r="P12" s="211">
        <v>600</v>
      </c>
      <c r="Q12" s="11" t="s">
        <v>70</v>
      </c>
      <c r="R12" s="73" t="s">
        <v>82</v>
      </c>
      <c r="S12" s="144" t="s">
        <v>81</v>
      </c>
      <c r="T12" s="246">
        <f>SUM(D12:P12)</f>
        <v>4200</v>
      </c>
    </row>
    <row r="13" spans="2:20" ht="64.5" customHeight="1" thickBot="1" x14ac:dyDescent="0.35">
      <c r="B13" s="413"/>
      <c r="C13" s="62" t="s">
        <v>32</v>
      </c>
      <c r="D13" s="215">
        <v>0</v>
      </c>
      <c r="E13" s="212">
        <v>0</v>
      </c>
      <c r="F13" s="213">
        <v>350</v>
      </c>
      <c r="G13" s="214">
        <v>0</v>
      </c>
      <c r="H13" s="212">
        <v>350</v>
      </c>
      <c r="I13" s="213">
        <v>0</v>
      </c>
      <c r="J13" s="214">
        <v>350</v>
      </c>
      <c r="K13" s="215">
        <v>0</v>
      </c>
      <c r="L13" s="216">
        <v>350</v>
      </c>
      <c r="M13" s="216">
        <v>0</v>
      </c>
      <c r="N13" s="216">
        <v>350</v>
      </c>
      <c r="O13" s="216">
        <v>0</v>
      </c>
      <c r="P13" s="217">
        <v>350</v>
      </c>
      <c r="Q13" s="138" t="s">
        <v>25</v>
      </c>
      <c r="R13" s="52" t="s">
        <v>131</v>
      </c>
      <c r="S13" s="145" t="s">
        <v>84</v>
      </c>
      <c r="T13" s="247">
        <f>SUM(D13:P13)</f>
        <v>2100</v>
      </c>
    </row>
    <row r="14" spans="2:20" ht="84.6" customHeight="1" x14ac:dyDescent="0.3">
      <c r="B14" s="414" t="s">
        <v>14</v>
      </c>
      <c r="C14" s="188" t="s">
        <v>73</v>
      </c>
      <c r="D14" s="191">
        <v>0</v>
      </c>
      <c r="E14" s="189">
        <v>0</v>
      </c>
      <c r="F14" s="190">
        <v>1000</v>
      </c>
      <c r="G14" s="219">
        <v>2000</v>
      </c>
      <c r="H14" s="220">
        <v>2000</v>
      </c>
      <c r="I14" s="190">
        <v>1000</v>
      </c>
      <c r="J14" s="219">
        <v>2000</v>
      </c>
      <c r="K14" s="191">
        <v>1000</v>
      </c>
      <c r="L14" s="296">
        <v>1000</v>
      </c>
      <c r="M14" s="296">
        <v>1000</v>
      </c>
      <c r="N14" s="296">
        <v>1000</v>
      </c>
      <c r="O14" s="239">
        <v>2000</v>
      </c>
      <c r="P14" s="219">
        <v>2000</v>
      </c>
      <c r="Q14" s="416" t="s">
        <v>33</v>
      </c>
      <c r="R14" s="194" t="s">
        <v>85</v>
      </c>
      <c r="S14" s="418" t="s">
        <v>129</v>
      </c>
      <c r="T14" s="243">
        <f>SUM(D14:P14)</f>
        <v>16000</v>
      </c>
    </row>
    <row r="15" spans="2:20" ht="58.9" customHeight="1" thickBot="1" x14ac:dyDescent="0.35">
      <c r="B15" s="415"/>
      <c r="C15" s="193" t="s">
        <v>86</v>
      </c>
      <c r="D15" s="218">
        <v>0</v>
      </c>
      <c r="E15" s="195">
        <v>0</v>
      </c>
      <c r="F15" s="196">
        <v>100</v>
      </c>
      <c r="G15" s="197">
        <v>200</v>
      </c>
      <c r="H15" s="198">
        <v>200</v>
      </c>
      <c r="I15" s="196">
        <v>100</v>
      </c>
      <c r="J15" s="197">
        <v>200</v>
      </c>
      <c r="K15" s="199">
        <v>100</v>
      </c>
      <c r="L15" s="196">
        <v>100</v>
      </c>
      <c r="M15" s="196">
        <v>100</v>
      </c>
      <c r="N15" s="196">
        <v>100</v>
      </c>
      <c r="O15" s="196">
        <v>200</v>
      </c>
      <c r="P15" s="197">
        <v>200</v>
      </c>
      <c r="Q15" s="417"/>
      <c r="R15" s="192" t="s">
        <v>87</v>
      </c>
      <c r="S15" s="419"/>
      <c r="T15" s="244">
        <v>1600</v>
      </c>
    </row>
    <row r="16" spans="2:20" ht="39" customHeight="1" thickBot="1" x14ac:dyDescent="0.35">
      <c r="B16" s="5"/>
      <c r="C16" s="6"/>
      <c r="D16" s="200">
        <v>600</v>
      </c>
      <c r="E16" s="397">
        <v>5100</v>
      </c>
      <c r="F16" s="398"/>
      <c r="G16" s="399"/>
      <c r="H16" s="397">
        <v>8250</v>
      </c>
      <c r="I16" s="398"/>
      <c r="J16" s="398"/>
      <c r="K16" s="397">
        <v>12500</v>
      </c>
      <c r="L16" s="398"/>
      <c r="M16" s="398"/>
      <c r="N16" s="398"/>
      <c r="O16" s="398"/>
      <c r="P16" s="399"/>
      <c r="Q16" s="9"/>
      <c r="R16" s="9"/>
      <c r="S16" s="9" t="s">
        <v>16</v>
      </c>
      <c r="T16" s="8">
        <v>26450</v>
      </c>
    </row>
    <row r="17" spans="2:20" ht="39" customHeight="1" thickBot="1" x14ac:dyDescent="0.35">
      <c r="B17" s="5"/>
      <c r="C17" s="6"/>
      <c r="D17" s="9"/>
      <c r="E17" s="9"/>
      <c r="F17" s="9"/>
      <c r="G17" s="26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2:20" ht="38.450000000000003" customHeight="1" thickBot="1" x14ac:dyDescent="0.35">
      <c r="B18" s="345" t="s">
        <v>37</v>
      </c>
      <c r="C18" s="400"/>
      <c r="D18" s="120"/>
      <c r="E18" s="187"/>
      <c r="F18" s="121"/>
      <c r="G18" s="153" t="s">
        <v>89</v>
      </c>
      <c r="H18" s="238" t="s">
        <v>31</v>
      </c>
      <c r="I18" s="10"/>
      <c r="J18" s="289" t="s">
        <v>83</v>
      </c>
      <c r="K18" s="142"/>
      <c r="L18" s="142"/>
      <c r="M18" s="187"/>
      <c r="N18" s="142"/>
      <c r="O18" s="401" t="s">
        <v>88</v>
      </c>
      <c r="P18" s="402"/>
      <c r="Q18" s="9"/>
      <c r="R18" s="57" t="s">
        <v>22</v>
      </c>
      <c r="S18" s="90" t="s">
        <v>15</v>
      </c>
      <c r="T18" s="10"/>
    </row>
    <row r="19" spans="2:20" ht="39" customHeight="1" x14ac:dyDescent="0.3">
      <c r="B19" s="403" t="s">
        <v>3</v>
      </c>
      <c r="C19" s="124" t="s">
        <v>90</v>
      </c>
      <c r="D19" s="405">
        <v>50</v>
      </c>
      <c r="E19" s="405">
        <v>50</v>
      </c>
      <c r="F19" s="388">
        <v>50</v>
      </c>
      <c r="G19" s="390">
        <v>50</v>
      </c>
      <c r="H19" s="405">
        <v>50</v>
      </c>
      <c r="I19" s="388">
        <v>50</v>
      </c>
      <c r="J19" s="390">
        <v>50</v>
      </c>
      <c r="K19" s="405">
        <v>50</v>
      </c>
      <c r="L19" s="388">
        <v>50</v>
      </c>
      <c r="M19" s="388">
        <v>50</v>
      </c>
      <c r="N19" s="388">
        <v>50</v>
      </c>
      <c r="O19" s="388">
        <v>50</v>
      </c>
      <c r="P19" s="390">
        <v>50</v>
      </c>
      <c r="Q19" s="368" t="s">
        <v>60</v>
      </c>
      <c r="R19" s="393" t="s">
        <v>36</v>
      </c>
      <c r="S19" s="395" t="s">
        <v>34</v>
      </c>
      <c r="T19" s="382">
        <f>SUM(D19:P20)</f>
        <v>650</v>
      </c>
    </row>
    <row r="20" spans="2:20" ht="39" customHeight="1" x14ac:dyDescent="0.3">
      <c r="B20" s="404"/>
      <c r="C20" s="125" t="s">
        <v>91</v>
      </c>
      <c r="D20" s="406"/>
      <c r="E20" s="406"/>
      <c r="F20" s="389"/>
      <c r="G20" s="391"/>
      <c r="H20" s="406"/>
      <c r="I20" s="389"/>
      <c r="J20" s="391"/>
      <c r="K20" s="406"/>
      <c r="L20" s="389"/>
      <c r="M20" s="389"/>
      <c r="N20" s="389"/>
      <c r="O20" s="389"/>
      <c r="P20" s="391"/>
      <c r="Q20" s="392"/>
      <c r="R20" s="394"/>
      <c r="S20" s="396"/>
      <c r="T20" s="383"/>
    </row>
    <row r="21" spans="2:20" ht="67.900000000000006" customHeight="1" x14ac:dyDescent="0.3">
      <c r="B21" s="404"/>
      <c r="C21" s="115" t="s">
        <v>74</v>
      </c>
      <c r="D21" s="141">
        <v>200</v>
      </c>
      <c r="E21" s="205">
        <v>200</v>
      </c>
      <c r="F21" s="201">
        <v>200</v>
      </c>
      <c r="G21" s="204">
        <v>200</v>
      </c>
      <c r="H21" s="205">
        <v>200</v>
      </c>
      <c r="I21" s="201">
        <v>200</v>
      </c>
      <c r="J21" s="204">
        <v>200</v>
      </c>
      <c r="K21" s="205">
        <v>200</v>
      </c>
      <c r="L21" s="201">
        <v>200</v>
      </c>
      <c r="M21" s="201">
        <v>200</v>
      </c>
      <c r="N21" s="157">
        <v>200</v>
      </c>
      <c r="O21" s="157">
        <v>200</v>
      </c>
      <c r="P21" s="204">
        <v>200</v>
      </c>
      <c r="Q21" s="206" t="s">
        <v>7</v>
      </c>
      <c r="R21" s="241" t="s">
        <v>132</v>
      </c>
      <c r="S21" s="137" t="s">
        <v>61</v>
      </c>
      <c r="T21" s="203">
        <v>2600</v>
      </c>
    </row>
    <row r="22" spans="2:20" ht="80.25" customHeight="1" x14ac:dyDescent="0.3">
      <c r="B22" s="404"/>
      <c r="C22" s="158" t="s">
        <v>57</v>
      </c>
      <c r="D22" s="384">
        <v>350</v>
      </c>
      <c r="E22" s="386">
        <v>350</v>
      </c>
      <c r="F22" s="374">
        <v>350</v>
      </c>
      <c r="G22" s="376">
        <v>350</v>
      </c>
      <c r="H22" s="386">
        <v>350</v>
      </c>
      <c r="I22" s="374">
        <v>350</v>
      </c>
      <c r="J22" s="376">
        <v>350</v>
      </c>
      <c r="K22" s="386">
        <v>350</v>
      </c>
      <c r="L22" s="374">
        <v>350</v>
      </c>
      <c r="M22" s="374">
        <v>350</v>
      </c>
      <c r="N22" s="374">
        <v>350</v>
      </c>
      <c r="O22" s="374">
        <v>350</v>
      </c>
      <c r="P22" s="376">
        <v>350</v>
      </c>
      <c r="Q22" s="378" t="s">
        <v>33</v>
      </c>
      <c r="R22" s="380" t="s">
        <v>133</v>
      </c>
      <c r="S22" s="288" t="s">
        <v>58</v>
      </c>
      <c r="T22" s="358">
        <f>SUM(D22:P23)</f>
        <v>4550</v>
      </c>
    </row>
    <row r="23" spans="2:20" ht="80.25" customHeight="1" x14ac:dyDescent="0.3">
      <c r="B23" s="404"/>
      <c r="C23" s="177" t="s">
        <v>93</v>
      </c>
      <c r="D23" s="385"/>
      <c r="E23" s="387"/>
      <c r="F23" s="375"/>
      <c r="G23" s="377"/>
      <c r="H23" s="387"/>
      <c r="I23" s="375"/>
      <c r="J23" s="377"/>
      <c r="K23" s="387"/>
      <c r="L23" s="375"/>
      <c r="M23" s="375"/>
      <c r="N23" s="375"/>
      <c r="O23" s="375"/>
      <c r="P23" s="377"/>
      <c r="Q23" s="379"/>
      <c r="R23" s="381"/>
      <c r="S23" s="137" t="s">
        <v>92</v>
      </c>
      <c r="T23" s="359"/>
    </row>
    <row r="24" spans="2:20" ht="75" customHeight="1" thickBot="1" x14ac:dyDescent="0.35">
      <c r="B24" s="404"/>
      <c r="C24" s="123" t="s">
        <v>94</v>
      </c>
      <c r="D24" s="293">
        <v>200</v>
      </c>
      <c r="E24" s="294">
        <v>300</v>
      </c>
      <c r="F24" s="295">
        <v>300</v>
      </c>
      <c r="G24" s="159">
        <v>1000</v>
      </c>
      <c r="H24" s="111">
        <v>1000</v>
      </c>
      <c r="I24" s="112">
        <v>500</v>
      </c>
      <c r="J24" s="159">
        <v>500</v>
      </c>
      <c r="K24" s="226">
        <v>300</v>
      </c>
      <c r="L24" s="227">
        <v>300</v>
      </c>
      <c r="M24" s="227">
        <v>300</v>
      </c>
      <c r="N24" s="227">
        <v>300</v>
      </c>
      <c r="O24" s="113">
        <v>1000</v>
      </c>
      <c r="P24" s="159">
        <v>1000</v>
      </c>
      <c r="Q24" s="206" t="s">
        <v>1</v>
      </c>
      <c r="R24" s="139" t="s">
        <v>95</v>
      </c>
      <c r="S24" s="140" t="s">
        <v>96</v>
      </c>
      <c r="T24" s="126">
        <f t="shared" ref="T24:T29" si="0">SUM(D24:P24)</f>
        <v>7000</v>
      </c>
    </row>
    <row r="25" spans="2:20" ht="73.5" customHeight="1" x14ac:dyDescent="0.3">
      <c r="B25" s="360" t="s">
        <v>23</v>
      </c>
      <c r="C25" s="95" t="s">
        <v>38</v>
      </c>
      <c r="D25" s="98">
        <v>0</v>
      </c>
      <c r="E25" s="128">
        <v>0</v>
      </c>
      <c r="F25" s="97">
        <v>0</v>
      </c>
      <c r="G25" s="129">
        <v>0</v>
      </c>
      <c r="H25" s="96">
        <v>0</v>
      </c>
      <c r="I25" s="97">
        <v>0</v>
      </c>
      <c r="J25" s="230">
        <v>0</v>
      </c>
      <c r="K25" s="223">
        <v>0</v>
      </c>
      <c r="L25" s="224">
        <v>0</v>
      </c>
      <c r="M25" s="224">
        <v>0</v>
      </c>
      <c r="N25" s="224">
        <v>0</v>
      </c>
      <c r="O25" s="224">
        <v>0</v>
      </c>
      <c r="P25" s="225">
        <v>0</v>
      </c>
      <c r="Q25" s="174" t="s">
        <v>1</v>
      </c>
      <c r="R25" s="88" t="s">
        <v>99</v>
      </c>
      <c r="S25" s="363" t="s">
        <v>118</v>
      </c>
      <c r="T25" s="12">
        <f t="shared" si="0"/>
        <v>0</v>
      </c>
    </row>
    <row r="26" spans="2:20" ht="53.25" customHeight="1" x14ac:dyDescent="0.3">
      <c r="B26" s="361"/>
      <c r="C26" s="131" t="s">
        <v>75</v>
      </c>
      <c r="D26" s="222">
        <v>0</v>
      </c>
      <c r="E26" s="160">
        <v>200</v>
      </c>
      <c r="F26" s="161">
        <v>200</v>
      </c>
      <c r="G26" s="133">
        <v>300</v>
      </c>
      <c r="H26" s="130">
        <v>300</v>
      </c>
      <c r="I26" s="161">
        <v>200</v>
      </c>
      <c r="J26" s="162">
        <v>200</v>
      </c>
      <c r="K26" s="163">
        <v>200</v>
      </c>
      <c r="L26" s="164">
        <v>200</v>
      </c>
      <c r="M26" s="164">
        <v>200</v>
      </c>
      <c r="N26" s="164">
        <v>200</v>
      </c>
      <c r="O26" s="297">
        <v>300</v>
      </c>
      <c r="P26" s="298">
        <v>300</v>
      </c>
      <c r="Q26" s="175" t="s">
        <v>7</v>
      </c>
      <c r="R26" s="132" t="s">
        <v>99</v>
      </c>
      <c r="S26" s="364"/>
      <c r="T26" s="50">
        <f t="shared" si="0"/>
        <v>2800</v>
      </c>
    </row>
    <row r="27" spans="2:20" ht="43.5" customHeight="1" x14ac:dyDescent="0.3">
      <c r="B27" s="361"/>
      <c r="C27" s="155" t="s">
        <v>77</v>
      </c>
      <c r="D27" s="127">
        <v>0</v>
      </c>
      <c r="E27" s="160">
        <v>50</v>
      </c>
      <c r="F27" s="161">
        <v>50</v>
      </c>
      <c r="G27" s="133">
        <v>100</v>
      </c>
      <c r="H27" s="130">
        <v>100</v>
      </c>
      <c r="I27" s="161">
        <v>50</v>
      </c>
      <c r="J27" s="162">
        <v>50</v>
      </c>
      <c r="K27" s="163">
        <v>50</v>
      </c>
      <c r="L27" s="164">
        <v>50</v>
      </c>
      <c r="M27" s="164">
        <v>50</v>
      </c>
      <c r="N27" s="164">
        <v>50</v>
      </c>
      <c r="O27" s="297">
        <v>100</v>
      </c>
      <c r="P27" s="298">
        <v>100</v>
      </c>
      <c r="Q27" s="175" t="s">
        <v>59</v>
      </c>
      <c r="R27" s="89" t="s">
        <v>98</v>
      </c>
      <c r="S27" s="364"/>
      <c r="T27" s="110">
        <f t="shared" si="0"/>
        <v>800</v>
      </c>
    </row>
    <row r="28" spans="2:20" ht="60.75" customHeight="1" x14ac:dyDescent="0.3">
      <c r="B28" s="361"/>
      <c r="C28" s="156" t="s">
        <v>78</v>
      </c>
      <c r="D28" s="231">
        <v>0</v>
      </c>
      <c r="E28" s="299">
        <v>200</v>
      </c>
      <c r="F28" s="300">
        <v>200</v>
      </c>
      <c r="G28" s="232">
        <v>300</v>
      </c>
      <c r="H28" s="231">
        <v>300</v>
      </c>
      <c r="I28" s="300">
        <v>200</v>
      </c>
      <c r="J28" s="301">
        <v>200</v>
      </c>
      <c r="K28" s="302">
        <v>200</v>
      </c>
      <c r="L28" s="303">
        <v>200</v>
      </c>
      <c r="M28" s="303">
        <v>200</v>
      </c>
      <c r="N28" s="303">
        <v>200</v>
      </c>
      <c r="O28" s="233">
        <v>300</v>
      </c>
      <c r="P28" s="232">
        <v>300</v>
      </c>
      <c r="Q28" s="176" t="s">
        <v>60</v>
      </c>
      <c r="R28" s="114" t="s">
        <v>97</v>
      </c>
      <c r="S28" s="364"/>
      <c r="T28" s="108">
        <f t="shared" si="0"/>
        <v>2800</v>
      </c>
    </row>
    <row r="29" spans="2:20" ht="66" customHeight="1" thickBot="1" x14ac:dyDescent="0.35">
      <c r="B29" s="362"/>
      <c r="C29" s="37" t="s">
        <v>76</v>
      </c>
      <c r="D29" s="228">
        <v>0</v>
      </c>
      <c r="E29" s="165">
        <v>80</v>
      </c>
      <c r="F29" s="166">
        <v>80</v>
      </c>
      <c r="G29" s="167">
        <v>80</v>
      </c>
      <c r="H29" s="168">
        <v>80</v>
      </c>
      <c r="I29" s="169">
        <v>80</v>
      </c>
      <c r="J29" s="167">
        <v>80</v>
      </c>
      <c r="K29" s="171">
        <v>80</v>
      </c>
      <c r="L29" s="170">
        <v>80</v>
      </c>
      <c r="M29" s="170">
        <v>80</v>
      </c>
      <c r="N29" s="170">
        <v>80</v>
      </c>
      <c r="O29" s="170">
        <v>80</v>
      </c>
      <c r="P29" s="167">
        <v>80</v>
      </c>
      <c r="Q29" s="202" t="s">
        <v>1</v>
      </c>
      <c r="R29" s="52" t="s">
        <v>12</v>
      </c>
      <c r="S29" s="365"/>
      <c r="T29" s="109">
        <f t="shared" si="0"/>
        <v>960</v>
      </c>
    </row>
    <row r="30" spans="2:20" ht="66" customHeight="1" x14ac:dyDescent="0.3">
      <c r="B30" s="366" t="s">
        <v>26</v>
      </c>
      <c r="C30" s="99" t="s">
        <v>100</v>
      </c>
      <c r="D30" s="290">
        <v>1000</v>
      </c>
      <c r="E30" s="291">
        <v>2000</v>
      </c>
      <c r="F30" s="292">
        <v>3000</v>
      </c>
      <c r="G30" s="229">
        <v>5000</v>
      </c>
      <c r="H30" s="136">
        <v>5000</v>
      </c>
      <c r="I30" s="248">
        <v>3000</v>
      </c>
      <c r="J30" s="249">
        <v>3000</v>
      </c>
      <c r="K30" s="235">
        <v>3000</v>
      </c>
      <c r="L30" s="236">
        <v>3000</v>
      </c>
      <c r="M30" s="236">
        <v>3000</v>
      </c>
      <c r="N30" s="236">
        <v>3000</v>
      </c>
      <c r="O30" s="236">
        <v>3000</v>
      </c>
      <c r="P30" s="85">
        <v>3000</v>
      </c>
      <c r="Q30" s="368" t="s">
        <v>27</v>
      </c>
      <c r="R30" s="370" t="s">
        <v>134</v>
      </c>
      <c r="S30" s="372" t="s">
        <v>119</v>
      </c>
      <c r="T30" s="100">
        <v>43000</v>
      </c>
    </row>
    <row r="31" spans="2:20" ht="66" customHeight="1" thickBot="1" x14ac:dyDescent="0.35">
      <c r="B31" s="367"/>
      <c r="C31" s="101" t="s">
        <v>28</v>
      </c>
      <c r="D31" s="102">
        <v>100</v>
      </c>
      <c r="E31" s="103">
        <v>200</v>
      </c>
      <c r="F31" s="104">
        <v>200</v>
      </c>
      <c r="G31" s="134">
        <v>300</v>
      </c>
      <c r="H31" s="105">
        <v>300</v>
      </c>
      <c r="I31" s="106">
        <v>200</v>
      </c>
      <c r="J31" s="172">
        <v>200</v>
      </c>
      <c r="K31" s="38">
        <v>200</v>
      </c>
      <c r="L31" s="75">
        <v>200</v>
      </c>
      <c r="M31" s="75">
        <v>200</v>
      </c>
      <c r="N31" s="75">
        <v>200</v>
      </c>
      <c r="O31" s="75">
        <v>200</v>
      </c>
      <c r="P31" s="77">
        <v>200</v>
      </c>
      <c r="Q31" s="369"/>
      <c r="R31" s="371"/>
      <c r="S31" s="373"/>
      <c r="T31" s="107">
        <f>SUM(D31:P31)</f>
        <v>2700</v>
      </c>
    </row>
    <row r="32" spans="2:20" ht="75.75" customHeight="1" thickBot="1" x14ac:dyDescent="0.35">
      <c r="B32" s="39" t="s">
        <v>6</v>
      </c>
      <c r="C32" s="64" t="s">
        <v>24</v>
      </c>
      <c r="D32" s="38">
        <v>100</v>
      </c>
      <c r="E32" s="40">
        <v>100</v>
      </c>
      <c r="F32" s="42">
        <v>100</v>
      </c>
      <c r="G32" s="135">
        <v>100</v>
      </c>
      <c r="H32" s="86">
        <v>100</v>
      </c>
      <c r="I32" s="41">
        <v>100</v>
      </c>
      <c r="J32" s="173">
        <v>100</v>
      </c>
      <c r="K32" s="38">
        <v>100</v>
      </c>
      <c r="L32" s="75">
        <v>100</v>
      </c>
      <c r="M32" s="75">
        <v>100</v>
      </c>
      <c r="N32" s="75">
        <v>100</v>
      </c>
      <c r="O32" s="75">
        <v>100</v>
      </c>
      <c r="P32" s="77">
        <v>100</v>
      </c>
      <c r="Q32" s="61" t="s">
        <v>1</v>
      </c>
      <c r="R32" s="341" t="s">
        <v>13</v>
      </c>
      <c r="S32" s="342"/>
      <c r="T32" s="63">
        <f>SUM(D32:P32)</f>
        <v>1300</v>
      </c>
    </row>
    <row r="33" spans="2:20" ht="53.45" customHeight="1" thickBot="1" x14ac:dyDescent="0.35">
      <c r="B33" s="329" t="s">
        <v>0</v>
      </c>
      <c r="C33" s="330"/>
      <c r="D33" s="30">
        <f t="shared" ref="D33:L33" si="1">SUM(D19:D32)</f>
        <v>2000</v>
      </c>
      <c r="E33" s="30">
        <f t="shared" si="1"/>
        <v>3730</v>
      </c>
      <c r="F33" s="13">
        <f t="shared" si="1"/>
        <v>4730</v>
      </c>
      <c r="G33" s="31">
        <f t="shared" si="1"/>
        <v>7780</v>
      </c>
      <c r="H33" s="87">
        <f t="shared" si="1"/>
        <v>7780</v>
      </c>
      <c r="I33" s="13">
        <f t="shared" si="1"/>
        <v>4930</v>
      </c>
      <c r="J33" s="31">
        <f t="shared" si="1"/>
        <v>4930</v>
      </c>
      <c r="K33" s="154">
        <f t="shared" si="1"/>
        <v>4730</v>
      </c>
      <c r="L33" s="76">
        <f t="shared" si="1"/>
        <v>4730</v>
      </c>
      <c r="M33" s="76">
        <v>4730</v>
      </c>
      <c r="N33" s="76">
        <f>SUM(N19:N32)</f>
        <v>4730</v>
      </c>
      <c r="O33" s="76">
        <v>5680</v>
      </c>
      <c r="P33" s="78">
        <f>SUM(P19:P32)</f>
        <v>5680</v>
      </c>
      <c r="Q33" s="343"/>
      <c r="R33" s="343"/>
      <c r="S33" s="344"/>
      <c r="T33" s="14">
        <f>SUM(D33:P33)</f>
        <v>66160</v>
      </c>
    </row>
    <row r="34" spans="2:20" ht="30" customHeight="1" thickBot="1" x14ac:dyDescent="0.35">
      <c r="B34" s="1"/>
      <c r="C34" s="15"/>
      <c r="D34" s="234">
        <f>SUM(D33:D33)</f>
        <v>2000</v>
      </c>
      <c r="E34" s="331">
        <f>SUM(E33:G33)</f>
        <v>16240</v>
      </c>
      <c r="F34" s="332"/>
      <c r="G34" s="333"/>
      <c r="H34" s="334">
        <v>17640</v>
      </c>
      <c r="I34" s="335"/>
      <c r="J34" s="336"/>
      <c r="K34" s="334">
        <v>30280</v>
      </c>
      <c r="L34" s="335"/>
      <c r="M34" s="335"/>
      <c r="N34" s="335"/>
      <c r="O34" s="335"/>
      <c r="P34" s="336"/>
      <c r="Q34" s="7"/>
      <c r="R34" s="7"/>
      <c r="S34" s="7"/>
      <c r="T34" s="16"/>
    </row>
    <row r="35" spans="2:20" ht="40.15" customHeight="1" thickBot="1" x14ac:dyDescent="0.35">
      <c r="B35" s="1"/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6"/>
    </row>
    <row r="36" spans="2:20" ht="41.25" customHeight="1" thickBot="1" x14ac:dyDescent="0.35">
      <c r="B36" s="345" t="s">
        <v>101</v>
      </c>
      <c r="C36" s="346"/>
      <c r="D36" s="120"/>
      <c r="E36" s="187"/>
      <c r="F36" s="121"/>
      <c r="G36" s="153" t="s">
        <v>89</v>
      </c>
      <c r="H36" s="238" t="s">
        <v>31</v>
      </c>
      <c r="I36" s="10"/>
      <c r="J36" s="152" t="s">
        <v>83</v>
      </c>
      <c r="K36" s="142"/>
      <c r="L36" s="142"/>
      <c r="M36" s="187"/>
      <c r="N36" s="142"/>
      <c r="O36" s="347" t="s">
        <v>88</v>
      </c>
      <c r="P36" s="348"/>
      <c r="Q36" s="9"/>
      <c r="R36" s="57" t="s">
        <v>22</v>
      </c>
      <c r="S36" s="90" t="s">
        <v>15</v>
      </c>
      <c r="T36" s="16"/>
    </row>
    <row r="37" spans="2:20" ht="60" customHeight="1" x14ac:dyDescent="0.3">
      <c r="B37" s="349" t="s">
        <v>122</v>
      </c>
      <c r="C37" s="250" t="s">
        <v>106</v>
      </c>
      <c r="D37" s="59">
        <v>0</v>
      </c>
      <c r="E37" s="91">
        <v>0</v>
      </c>
      <c r="F37" s="53">
        <v>0</v>
      </c>
      <c r="G37" s="82">
        <v>3000</v>
      </c>
      <c r="H37" s="91">
        <v>3000</v>
      </c>
      <c r="I37" s="287">
        <v>0</v>
      </c>
      <c r="J37" s="82">
        <v>2000</v>
      </c>
      <c r="K37" s="59">
        <v>0</v>
      </c>
      <c r="L37" s="79">
        <v>0</v>
      </c>
      <c r="M37" s="79">
        <v>0</v>
      </c>
      <c r="N37" s="79">
        <v>0</v>
      </c>
      <c r="O37" s="79">
        <v>3000</v>
      </c>
      <c r="P37" s="82">
        <v>2000</v>
      </c>
      <c r="Q37" s="352" t="s">
        <v>105</v>
      </c>
      <c r="R37" s="355" t="s">
        <v>103</v>
      </c>
      <c r="S37" s="338" t="s">
        <v>104</v>
      </c>
      <c r="T37" s="34">
        <v>13000</v>
      </c>
    </row>
    <row r="38" spans="2:20" ht="66.75" customHeight="1" x14ac:dyDescent="0.3">
      <c r="B38" s="350"/>
      <c r="C38" s="65" t="s">
        <v>35</v>
      </c>
      <c r="D38" s="55">
        <v>0</v>
      </c>
      <c r="E38" s="92">
        <v>0</v>
      </c>
      <c r="F38" s="48">
        <v>0</v>
      </c>
      <c r="G38" s="242">
        <v>1000</v>
      </c>
      <c r="H38" s="178">
        <v>1000</v>
      </c>
      <c r="I38" s="47">
        <v>0</v>
      </c>
      <c r="J38" s="54">
        <v>500</v>
      </c>
      <c r="K38" s="180">
        <v>0</v>
      </c>
      <c r="L38" s="58">
        <v>0</v>
      </c>
      <c r="M38" s="58">
        <v>0</v>
      </c>
      <c r="N38" s="58">
        <v>0</v>
      </c>
      <c r="O38" s="58">
        <v>500</v>
      </c>
      <c r="P38" s="54">
        <v>500</v>
      </c>
      <c r="Q38" s="353"/>
      <c r="R38" s="356"/>
      <c r="S38" s="339"/>
      <c r="T38" s="35">
        <v>3500</v>
      </c>
    </row>
    <row r="39" spans="2:20" ht="60" customHeight="1" thickBot="1" x14ac:dyDescent="0.35">
      <c r="B39" s="351"/>
      <c r="C39" s="33" t="s">
        <v>102</v>
      </c>
      <c r="D39" s="36">
        <v>0</v>
      </c>
      <c r="E39" s="93">
        <v>0</v>
      </c>
      <c r="F39" s="23">
        <v>0</v>
      </c>
      <c r="G39" s="94">
        <v>400</v>
      </c>
      <c r="H39" s="179">
        <v>400</v>
      </c>
      <c r="I39" s="49">
        <v>0</v>
      </c>
      <c r="J39" s="83">
        <v>250</v>
      </c>
      <c r="K39" s="181">
        <v>0</v>
      </c>
      <c r="L39" s="81">
        <v>0</v>
      </c>
      <c r="M39" s="81">
        <v>0</v>
      </c>
      <c r="N39" s="81">
        <v>0</v>
      </c>
      <c r="O39" s="81">
        <v>350</v>
      </c>
      <c r="P39" s="83">
        <v>250</v>
      </c>
      <c r="Q39" s="354"/>
      <c r="R39" s="357"/>
      <c r="S39" s="340"/>
      <c r="T39" s="56">
        <f>SUM(D39:P39)</f>
        <v>1650</v>
      </c>
    </row>
    <row r="40" spans="2:20" ht="42.6" customHeight="1" thickBot="1" x14ac:dyDescent="0.35">
      <c r="B40" s="329" t="s">
        <v>0</v>
      </c>
      <c r="C40" s="330"/>
      <c r="D40" s="27">
        <f t="shared" ref="D40:F40" si="2">SUM(D37:D39)</f>
        <v>0</v>
      </c>
      <c r="E40" s="24">
        <f t="shared" si="2"/>
        <v>0</v>
      </c>
      <c r="F40" s="25">
        <f t="shared" si="2"/>
        <v>0</v>
      </c>
      <c r="G40" s="84">
        <v>4400</v>
      </c>
      <c r="H40" s="24">
        <f>SUM(H37:H39)</f>
        <v>4400</v>
      </c>
      <c r="I40" s="25">
        <v>0</v>
      </c>
      <c r="J40" s="84">
        <f>SUM(J37:J39)</f>
        <v>2750</v>
      </c>
      <c r="K40" s="18">
        <v>0</v>
      </c>
      <c r="L40" s="80">
        <v>0</v>
      </c>
      <c r="M40" s="80">
        <v>0</v>
      </c>
      <c r="N40" s="80">
        <v>0</v>
      </c>
      <c r="O40" s="80">
        <v>3850</v>
      </c>
      <c r="P40" s="84">
        <v>2750</v>
      </c>
      <c r="Q40" s="51"/>
      <c r="R40" s="80"/>
      <c r="S40" s="51"/>
      <c r="T40" s="20">
        <v>18150</v>
      </c>
    </row>
    <row r="41" spans="2:20" ht="30" customHeight="1" thickBot="1" x14ac:dyDescent="0.35">
      <c r="D41" s="234">
        <v>0</v>
      </c>
      <c r="E41" s="331">
        <v>4400</v>
      </c>
      <c r="F41" s="332"/>
      <c r="G41" s="333"/>
      <c r="H41" s="334">
        <v>7150</v>
      </c>
      <c r="I41" s="335"/>
      <c r="J41" s="336"/>
      <c r="K41" s="334">
        <v>6600</v>
      </c>
      <c r="L41" s="335"/>
      <c r="M41" s="335"/>
      <c r="N41" s="335"/>
      <c r="O41" s="335"/>
      <c r="P41" s="336"/>
      <c r="Q41" s="19"/>
      <c r="R41" s="19"/>
      <c r="S41" s="19"/>
    </row>
    <row r="42" spans="2:20" ht="37.9" customHeight="1" x14ac:dyDescent="0.3">
      <c r="B42" s="32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2:20" ht="37.9" customHeight="1" thickBot="1" x14ac:dyDescent="0.35">
      <c r="B43" s="32"/>
      <c r="D43" s="337" t="s">
        <v>120</v>
      </c>
      <c r="E43" s="337"/>
      <c r="F43" s="337"/>
      <c r="G43" s="337"/>
      <c r="H43" s="28"/>
      <c r="I43" s="337" t="s">
        <v>123</v>
      </c>
      <c r="J43" s="337"/>
      <c r="K43" s="337"/>
      <c r="L43" s="337"/>
      <c r="M43" s="28"/>
      <c r="N43" s="28"/>
      <c r="O43" s="28"/>
      <c r="P43" s="28"/>
      <c r="Q43" s="28"/>
      <c r="R43" s="28"/>
      <c r="S43" s="28"/>
      <c r="T43" s="28"/>
    </row>
    <row r="44" spans="2:20" ht="37.9" customHeight="1" thickBot="1" x14ac:dyDescent="0.35">
      <c r="B44" s="32"/>
      <c r="D44" s="308" t="s">
        <v>121</v>
      </c>
      <c r="E44" s="309"/>
      <c r="F44" s="309"/>
      <c r="G44" s="310"/>
      <c r="H44" s="28"/>
      <c r="I44" s="311" t="s">
        <v>124</v>
      </c>
      <c r="J44" s="312"/>
      <c r="K44" s="312"/>
      <c r="L44" s="313"/>
      <c r="M44" s="28"/>
      <c r="N44" s="28"/>
      <c r="O44" s="28"/>
      <c r="P44" s="28"/>
      <c r="Q44" s="28"/>
      <c r="R44" s="28"/>
      <c r="S44" s="28"/>
      <c r="T44" s="28"/>
    </row>
    <row r="45" spans="2:20" ht="54" customHeight="1" x14ac:dyDescent="0.3">
      <c r="B45" s="314"/>
      <c r="C45" s="31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316" t="s">
        <v>127</v>
      </c>
      <c r="R45" s="317"/>
      <c r="S45" s="317"/>
      <c r="T45" s="318"/>
    </row>
    <row r="46" spans="2:20" ht="30" customHeight="1" x14ac:dyDescent="0.3">
      <c r="E46" s="28"/>
      <c r="F46" s="29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319"/>
      <c r="R46" s="320"/>
      <c r="S46" s="320"/>
      <c r="T46" s="321"/>
    </row>
    <row r="47" spans="2:20" ht="17.25" customHeight="1" thickBot="1" x14ac:dyDescent="0.35">
      <c r="Q47" s="322"/>
      <c r="R47" s="323"/>
      <c r="S47" s="323"/>
      <c r="T47" s="324"/>
    </row>
    <row r="48" spans="2:20" ht="22.9" customHeight="1" thickBot="1" x14ac:dyDescent="0.35">
      <c r="B48" s="32" t="s">
        <v>5</v>
      </c>
      <c r="Q48" s="304" t="s">
        <v>126</v>
      </c>
      <c r="R48" s="325"/>
      <c r="S48" s="325"/>
      <c r="T48" s="326"/>
    </row>
    <row r="49" spans="2:20" ht="46.9" customHeight="1" thickBot="1" x14ac:dyDescent="0.35">
      <c r="B49" s="327" t="s">
        <v>2</v>
      </c>
      <c r="C49" s="328"/>
      <c r="Q49" s="304"/>
      <c r="R49" s="325"/>
      <c r="S49" s="325"/>
      <c r="T49" s="326"/>
    </row>
    <row r="50" spans="2:20" ht="17.25" thickBot="1" x14ac:dyDescent="0.35">
      <c r="Q50" s="304"/>
      <c r="R50" s="325"/>
      <c r="S50" s="325"/>
      <c r="T50" s="326"/>
    </row>
    <row r="51" spans="2:20" ht="25.15" customHeight="1" thickBot="1" x14ac:dyDescent="0.35">
      <c r="Q51" s="304" t="s">
        <v>125</v>
      </c>
      <c r="R51" s="305"/>
      <c r="S51" s="305"/>
      <c r="T51" s="306"/>
    </row>
    <row r="52" spans="2:20" ht="25.15" customHeight="1" thickBot="1" x14ac:dyDescent="0.35">
      <c r="Q52" s="307"/>
      <c r="R52" s="305"/>
      <c r="S52" s="305"/>
      <c r="T52" s="306"/>
    </row>
    <row r="53" spans="2:20" ht="25.15" customHeight="1" thickBot="1" x14ac:dyDescent="0.35">
      <c r="Q53" s="307"/>
      <c r="R53" s="305"/>
      <c r="S53" s="305"/>
      <c r="T53" s="306"/>
    </row>
    <row r="54" spans="2:20" ht="25.15" customHeight="1" thickBot="1" x14ac:dyDescent="0.35">
      <c r="Q54" s="307"/>
      <c r="R54" s="305"/>
      <c r="S54" s="305"/>
      <c r="T54" s="306"/>
    </row>
    <row r="55" spans="2:20" ht="25.15" customHeight="1" thickBot="1" x14ac:dyDescent="0.35">
      <c r="Q55" s="307"/>
      <c r="R55" s="305"/>
      <c r="S55" s="305"/>
      <c r="T55" s="306"/>
    </row>
  </sheetData>
  <mergeCells count="91">
    <mergeCell ref="B2:T2"/>
    <mergeCell ref="B3:C5"/>
    <mergeCell ref="E3:G3"/>
    <mergeCell ref="H3:J3"/>
    <mergeCell ref="K3:P3"/>
    <mergeCell ref="Q3:Q5"/>
    <mergeCell ref="R3:R5"/>
    <mergeCell ref="S3:S5"/>
    <mergeCell ref="T3:T5"/>
    <mergeCell ref="B7:C7"/>
    <mergeCell ref="O7:P7"/>
    <mergeCell ref="D8:G8"/>
    <mergeCell ref="B9:B10"/>
    <mergeCell ref="D9:G10"/>
    <mergeCell ref="R9:R10"/>
    <mergeCell ref="S9:S10"/>
    <mergeCell ref="B11:B13"/>
    <mergeCell ref="B14:B15"/>
    <mergeCell ref="Q14:Q15"/>
    <mergeCell ref="S14:S15"/>
    <mergeCell ref="Q9:Q10"/>
    <mergeCell ref="M19:M20"/>
    <mergeCell ref="E16:G16"/>
    <mergeCell ref="H16:J16"/>
    <mergeCell ref="K16:P16"/>
    <mergeCell ref="B18:C18"/>
    <mergeCell ref="O18:P18"/>
    <mergeCell ref="B19:B24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T19:T20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N19:N20"/>
    <mergeCell ref="O19:O20"/>
    <mergeCell ref="P19:P20"/>
    <mergeCell ref="Q19:Q20"/>
    <mergeCell ref="R19:R20"/>
    <mergeCell ref="S19:S20"/>
    <mergeCell ref="T22:T23"/>
    <mergeCell ref="B25:B29"/>
    <mergeCell ref="S25:S29"/>
    <mergeCell ref="B30:B31"/>
    <mergeCell ref="Q30:Q31"/>
    <mergeCell ref="R30:R31"/>
    <mergeCell ref="S30:S31"/>
    <mergeCell ref="M22:M23"/>
    <mergeCell ref="N22:N23"/>
    <mergeCell ref="O22:O23"/>
    <mergeCell ref="P22:P23"/>
    <mergeCell ref="Q22:Q23"/>
    <mergeCell ref="R22:R23"/>
    <mergeCell ref="S37:S39"/>
    <mergeCell ref="R32:S32"/>
    <mergeCell ref="B33:C33"/>
    <mergeCell ref="Q33:S33"/>
    <mergeCell ref="E34:G34"/>
    <mergeCell ref="H34:J34"/>
    <mergeCell ref="K34:P34"/>
    <mergeCell ref="B36:C36"/>
    <mergeCell ref="O36:P36"/>
    <mergeCell ref="B37:B39"/>
    <mergeCell ref="Q37:Q39"/>
    <mergeCell ref="R37:R39"/>
    <mergeCell ref="B40:C40"/>
    <mergeCell ref="E41:G41"/>
    <mergeCell ref="H41:J41"/>
    <mergeCell ref="K41:P41"/>
    <mergeCell ref="D43:G43"/>
    <mergeCell ref="I43:L43"/>
    <mergeCell ref="Q51:T55"/>
    <mergeCell ref="D44:G44"/>
    <mergeCell ref="I44:L44"/>
    <mergeCell ref="B45:C45"/>
    <mergeCell ref="Q45:T47"/>
    <mergeCell ref="Q48:T50"/>
    <mergeCell ref="B49:C49"/>
  </mergeCells>
  <phoneticPr fontId="2" type="noConversion"/>
  <printOptions horizontalCentered="1"/>
  <pageMargins left="0.25" right="0.25" top="0.75" bottom="0.75" header="0.3" footer="0.3"/>
  <pageSetup paperSize="9" scale="20" orientation="landscape" horizontalDpi="4294967293" verticalDpi="4294967293" r:id="rId1"/>
  <rowBreaks count="1" manualBreakCount="1">
    <brk id="34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연간실행안B (네이버 제외)</vt:lpstr>
      <vt:lpstr>'연간실행안B (네이버 제외)'!Print_Area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219</cp:lastModifiedBy>
  <cp:lastPrinted>2021-08-18T03:21:35Z</cp:lastPrinted>
  <dcterms:created xsi:type="dcterms:W3CDTF">2018-08-21T00:40:41Z</dcterms:created>
  <dcterms:modified xsi:type="dcterms:W3CDTF">2021-12-20T03:07:29Z</dcterms:modified>
</cp:coreProperties>
</file>